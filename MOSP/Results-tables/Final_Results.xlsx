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cal Benchmark" sheetId="1" r:id="rId5"/>
    <sheet state="visible" name="Frinhani et al. (2018) VS PT-MO" sheetId="2" r:id="rId6"/>
    <sheet state="visible" name="Classical Methods VS PT-MOSP" sheetId="3" r:id="rId7"/>
  </sheets>
  <definedNames/>
  <calcPr/>
</workbook>
</file>

<file path=xl/sharedStrings.xml><?xml version="1.0" encoding="utf-8"?>
<sst xmlns="http://schemas.openxmlformats.org/spreadsheetml/2006/main" count="1055" uniqueCount="167">
  <si>
    <t>OPT</t>
  </si>
  <si>
    <t>PieceRank</t>
  </si>
  <si>
    <t>PT-MOSP</t>
  </si>
  <si>
    <t>set</t>
  </si>
  <si>
    <t>subset</t>
  </si>
  <si>
    <t>Sol.</t>
  </si>
  <si>
    <t>Time(ms)</t>
  </si>
  <si>
    <t>S*</t>
  </si>
  <si>
    <t>S</t>
  </si>
  <si>
    <t>S_0</t>
  </si>
  <si>
    <t>Standard Deviation</t>
  </si>
  <si>
    <t>gap S*OPT(%)</t>
  </si>
  <si>
    <t>gap S*PieceRank (%)</t>
  </si>
  <si>
    <t>gap S (%)</t>
  </si>
  <si>
    <t>gap S_0, S (%)</t>
  </si>
  <si>
    <t>Challenge</t>
  </si>
  <si>
    <t>NWRS1</t>
  </si>
  <si>
    <t>NWRS2</t>
  </si>
  <si>
    <t>Shaw</t>
  </si>
  <si>
    <t>NWRS3</t>
  </si>
  <si>
    <t>NWRS4</t>
  </si>
  <si>
    <t>SP1</t>
  </si>
  <si>
    <t>NWRS5</t>
  </si>
  <si>
    <t>NWRS6</t>
  </si>
  <si>
    <t>Miller</t>
  </si>
  <si>
    <t>GP1</t>
  </si>
  <si>
    <t>GP2</t>
  </si>
  <si>
    <t>GP3</t>
  </si>
  <si>
    <t>GP4</t>
  </si>
  <si>
    <t>SP2</t>
  </si>
  <si>
    <t>NWRS7</t>
  </si>
  <si>
    <t>NWRS8</t>
  </si>
  <si>
    <t>SP3</t>
  </si>
  <si>
    <t>GP5</t>
  </si>
  <si>
    <t>GP6</t>
  </si>
  <si>
    <t>GP7</t>
  </si>
  <si>
    <t>GP8</t>
  </si>
  <si>
    <t>SP4</t>
  </si>
  <si>
    <t>GENERAL AVERAGE</t>
  </si>
  <si>
    <t>SCOOP</t>
  </si>
  <si>
    <t>B_CARLET_137</t>
  </si>
  <si>
    <t>B_22X18_50</t>
  </si>
  <si>
    <t>B_39Q18_82</t>
  </si>
  <si>
    <t>B_18AB1_32</t>
  </si>
  <si>
    <t>B_42F22_93</t>
  </si>
  <si>
    <t>B_18CR1_33</t>
  </si>
  <si>
    <t>A_AP-9.d_10</t>
  </si>
  <si>
    <t>A_AP-9.d_3</t>
  </si>
  <si>
    <t>B_12F18_11</t>
  </si>
  <si>
    <t>B_GTM18A_139</t>
  </si>
  <si>
    <t>A_AP-9.d_11</t>
  </si>
  <si>
    <t>B_23B25_52</t>
  </si>
  <si>
    <t>B_12M18_12</t>
  </si>
  <si>
    <t>A_AP-9.d_6</t>
  </si>
  <si>
    <t>B_CUC28A_138</t>
  </si>
  <si>
    <t>B_REVAL_145</t>
  </si>
  <si>
    <t>A_FA+AA-_15</t>
  </si>
  <si>
    <t>A_FA+AA-_2</t>
  </si>
  <si>
    <t>A_FA+AA-_12</t>
  </si>
  <si>
    <t>A_FA+AA-_6</t>
  </si>
  <si>
    <t>A_FA+AA-_8</t>
  </si>
  <si>
    <t>A_FA+AA-_11</t>
  </si>
  <si>
    <t>A_FA+AA-_1</t>
  </si>
  <si>
    <t>A_FA+AA-_13</t>
  </si>
  <si>
    <t>Faggioli_Bentivoglio</t>
  </si>
  <si>
    <t>p1010</t>
  </si>
  <si>
    <t>p1020</t>
  </si>
  <si>
    <t>p1030</t>
  </si>
  <si>
    <t>p1040</t>
  </si>
  <si>
    <t>p1050</t>
  </si>
  <si>
    <t>p1510</t>
  </si>
  <si>
    <t>p1520</t>
  </si>
  <si>
    <t>p1530</t>
  </si>
  <si>
    <t>p1540</t>
  </si>
  <si>
    <t>p1550</t>
  </si>
  <si>
    <t>p2010</t>
  </si>
  <si>
    <t>p2020</t>
  </si>
  <si>
    <t>p2030</t>
  </si>
  <si>
    <t>p2040</t>
  </si>
  <si>
    <t>p2050</t>
  </si>
  <si>
    <t>p2510</t>
  </si>
  <si>
    <t>p2520</t>
  </si>
  <si>
    <t>p2530</t>
  </si>
  <si>
    <t>p2540</t>
  </si>
  <si>
    <t>p2550</t>
  </si>
  <si>
    <t>p3010</t>
  </si>
  <si>
    <t>p3020</t>
  </si>
  <si>
    <t>p3030</t>
  </si>
  <si>
    <t>p3040</t>
  </si>
  <si>
    <t>p3050</t>
  </si>
  <si>
    <t>p4010</t>
  </si>
  <si>
    <t>p4020</t>
  </si>
  <si>
    <t>p4030</t>
  </si>
  <si>
    <t>p4040</t>
  </si>
  <si>
    <t>p4050</t>
  </si>
  <si>
    <t>Chu_Stuckey</t>
  </si>
  <si>
    <t>Random-30-30-2</t>
  </si>
  <si>
    <t>Random-30-30-4</t>
  </si>
  <si>
    <t>Random-30-30-6</t>
  </si>
  <si>
    <t>Random-30-30-8</t>
  </si>
  <si>
    <t>Random-30-30-10</t>
  </si>
  <si>
    <t>Random-40-40-2</t>
  </si>
  <si>
    <t>Random-40-40-4</t>
  </si>
  <si>
    <t>Random-40-40-6</t>
  </si>
  <si>
    <t>Random-40-40-8</t>
  </si>
  <si>
    <t>Random-40-40-10</t>
  </si>
  <si>
    <t>Random-50-50-2</t>
  </si>
  <si>
    <t>Random-50-50-4</t>
  </si>
  <si>
    <t>Random-50-50-6</t>
  </si>
  <si>
    <t>Random-50-50-8</t>
  </si>
  <si>
    <t>Random-50-50-10</t>
  </si>
  <si>
    <t>Random-50-100-2</t>
  </si>
  <si>
    <t>Random-50-100-4</t>
  </si>
  <si>
    <t>Random-50-100-6</t>
  </si>
  <si>
    <t>Random-50-100-8</t>
  </si>
  <si>
    <t>Random-50-100-10</t>
  </si>
  <si>
    <t>Random-75-75-2</t>
  </si>
  <si>
    <t>Random-75-75-4</t>
  </si>
  <si>
    <t>Random-75-75-6</t>
  </si>
  <si>
    <t>Random-75-75-8</t>
  </si>
  <si>
    <t>Random-75-75-10</t>
  </si>
  <si>
    <t>Random-100-50-2</t>
  </si>
  <si>
    <t>Random-100-50-4</t>
  </si>
  <si>
    <t>Random-100-50-6</t>
  </si>
  <si>
    <t>Random-100-50-8</t>
  </si>
  <si>
    <t>Random-100-50-10</t>
  </si>
  <si>
    <t>Random-100-100-2</t>
  </si>
  <si>
    <t>Random-100-100-4</t>
  </si>
  <si>
    <t>Random-100-100-6</t>
  </si>
  <si>
    <t>Random-100-100-8</t>
  </si>
  <si>
    <t>Random-100-100-10</t>
  </si>
  <si>
    <t>Random-125-125-2</t>
  </si>
  <si>
    <t>Random-125-125-4</t>
  </si>
  <si>
    <t>Random-125-125-6</t>
  </si>
  <si>
    <t>Random-125-125-8</t>
  </si>
  <si>
    <t>Random-125-125-10</t>
  </si>
  <si>
    <t>BKS</t>
  </si>
  <si>
    <t>gap S*BKS(%)</t>
  </si>
  <si>
    <t>Carvalho_Soma</t>
  </si>
  <si>
    <t>Random-150-150-2</t>
  </si>
  <si>
    <t>Random-150-150-4</t>
  </si>
  <si>
    <t>Random-150-150-6</t>
  </si>
  <si>
    <t>Random-150-150-8</t>
  </si>
  <si>
    <t>Random-150-150-10</t>
  </si>
  <si>
    <t>Random-175-175-2</t>
  </si>
  <si>
    <t>Random-175-175-4</t>
  </si>
  <si>
    <t>Random-175-175-6</t>
  </si>
  <si>
    <t>Random-175-175-8</t>
  </si>
  <si>
    <t>Random-175-175-10</t>
  </si>
  <si>
    <t>Random-200-200-2</t>
  </si>
  <si>
    <t>Random-200-200-4</t>
  </si>
  <si>
    <t>Random-200-200-6</t>
  </si>
  <si>
    <t>Random-200-200-8</t>
  </si>
  <si>
    <t>Random-200-200-10</t>
  </si>
  <si>
    <t>size</t>
  </si>
  <si>
    <t>gap S* (%)</t>
  </si>
  <si>
    <t>400x400</t>
  </si>
  <si>
    <t>600x600</t>
  </si>
  <si>
    <t>800x800</t>
  </si>
  <si>
    <t>1000x1000</t>
  </si>
  <si>
    <t>SND</t>
  </si>
  <si>
    <t>BRKGA</t>
  </si>
  <si>
    <t>SA</t>
  </si>
  <si>
    <t>instance</t>
  </si>
  <si>
    <t>gap PT-SND (%)</t>
  </si>
  <si>
    <t>gap PT-BRKGA (%)</t>
  </si>
  <si>
    <t>gap PT-SA(%)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</si>
</sst>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3" fontId="2" numFmtId="2" xfId="0" applyAlignment="1" applyFill="1" applyFont="1" applyNumberFormat="1">
      <alignment horizontal="center" readingOrder="0" vertical="bottom"/>
    </xf>
    <xf borderId="0" fillId="3" fontId="2" numFmtId="2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164" xfId="0" applyAlignment="1" applyFont="1" applyNumberFormat="1">
      <alignment horizontal="center" vertical="bottom"/>
    </xf>
    <xf borderId="0" fillId="3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right" readingOrder="0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2" xfId="0" applyAlignment="1" applyFont="1" applyNumberFormat="1">
      <alignment horizontal="center" readingOrder="0" vertical="bottom"/>
    </xf>
    <xf borderId="0" fillId="2" fontId="3" numFmtId="2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2" xfId="0" applyAlignment="1" applyFont="1" applyNumberFormat="1">
      <alignment horizontal="center" readingOrder="0" vertical="bottom"/>
    </xf>
    <xf borderId="0" fillId="0" fontId="3" numFmtId="2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horizontal="center" readingOrder="0" vertical="bottom"/>
    </xf>
    <xf borderId="0" fillId="0" fontId="2" numFmtId="2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3" fontId="1" numFmtId="2" xfId="0" applyAlignment="1" applyFont="1" applyNumberFormat="1">
      <alignment horizontal="center" readingOrder="0" vertical="bottom"/>
    </xf>
    <xf borderId="0" fillId="0" fontId="4" numFmtId="2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3" fontId="3" numFmtId="2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4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/>
    </xf>
    <xf borderId="0" fillId="0" fontId="2" numFmtId="2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center"/>
    </xf>
    <xf borderId="0" fillId="3" fontId="1" numFmtId="2" xfId="0" applyAlignment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4" numFmtId="0" xfId="0" applyAlignment="1" applyFont="1">
      <alignment horizontal="center"/>
    </xf>
    <xf borderId="0" fillId="0" fontId="4" numFmtId="1" xfId="0" applyAlignment="1" applyFont="1" applyNumberFormat="1">
      <alignment horizontal="center" readingOrder="0"/>
    </xf>
    <xf borderId="0" fillId="4" fontId="2" numFmtId="2" xfId="0" applyAlignment="1" applyFill="1" applyFont="1" applyNumberFormat="1">
      <alignment horizontal="center" readingOrder="0" vertical="bottom"/>
    </xf>
    <xf borderId="0" fillId="4" fontId="2" numFmtId="2" xfId="0" applyAlignment="1" applyFont="1" applyNumberFormat="1">
      <alignment horizontal="center" vertical="bottom"/>
    </xf>
    <xf borderId="0" fillId="4" fontId="2" numFmtId="0" xfId="0" applyAlignment="1" applyFont="1">
      <alignment horizontal="center" readingOrder="0" vertical="bottom"/>
    </xf>
    <xf borderId="0" fillId="4" fontId="2" numFmtId="0" xfId="0" applyAlignment="1" applyFont="1">
      <alignment horizontal="center" vertical="bottom"/>
    </xf>
    <xf borderId="0" fillId="4" fontId="4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4" fontId="4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7.0"/>
    <col customWidth="1" min="6" max="6" width="24.0"/>
    <col customWidth="1" min="7" max="7" width="21.25"/>
    <col customWidth="1" min="8" max="8" width="21.5"/>
    <col customWidth="1" min="9" max="9" width="20.88"/>
    <col customWidth="1" min="10" max="10" width="20.25"/>
    <col customWidth="1" min="11" max="11" width="18.13"/>
    <col customWidth="1" min="12" max="12" width="18.38"/>
    <col customWidth="1" min="14" max="14" width="17.63"/>
    <col customWidth="1" min="15" max="15" width="15.5"/>
    <col customWidth="1" min="16" max="16" width="15.88"/>
  </cols>
  <sheetData>
    <row r="1">
      <c r="A1" s="1"/>
      <c r="B1" s="2"/>
      <c r="C1" s="2"/>
      <c r="D1" s="2"/>
      <c r="E1" s="2"/>
      <c r="F1" s="3"/>
      <c r="G1" s="3"/>
      <c r="H1" s="3"/>
      <c r="I1" s="3"/>
      <c r="J1" s="2"/>
      <c r="K1" s="3"/>
      <c r="L1" s="3"/>
      <c r="M1" s="3"/>
      <c r="N1" s="3"/>
      <c r="O1" s="3"/>
      <c r="P1" s="3"/>
    </row>
    <row r="2">
      <c r="A2" s="4"/>
      <c r="B2" s="5"/>
      <c r="C2" s="6" t="s">
        <v>0</v>
      </c>
      <c r="D2" s="6" t="s">
        <v>1</v>
      </c>
      <c r="F2" s="6" t="s">
        <v>2</v>
      </c>
      <c r="K2" s="5"/>
      <c r="L2" s="5"/>
      <c r="M2" s="5"/>
      <c r="N2" s="5"/>
      <c r="O2" s="3"/>
      <c r="P2" s="3"/>
    </row>
    <row r="3">
      <c r="A3" s="6" t="s">
        <v>3</v>
      </c>
      <c r="B3" s="6" t="s">
        <v>4</v>
      </c>
      <c r="C3" s="6" t="s">
        <v>5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6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3"/>
    </row>
    <row r="4">
      <c r="A4" s="7" t="s">
        <v>15</v>
      </c>
      <c r="B4" s="7" t="s">
        <v>16</v>
      </c>
      <c r="C4" s="8">
        <v>3.0</v>
      </c>
      <c r="D4" s="9">
        <v>3.0</v>
      </c>
      <c r="E4" s="10">
        <v>0.0</v>
      </c>
      <c r="F4" s="11">
        <v>3.0</v>
      </c>
      <c r="G4" s="11">
        <v>3.0</v>
      </c>
      <c r="H4" s="11">
        <v>3.0</v>
      </c>
      <c r="I4" s="11">
        <v>13654.5</v>
      </c>
      <c r="J4" s="11">
        <v>0.0</v>
      </c>
      <c r="K4" s="12">
        <f t="shared" ref="K4:K25" si="1">(F4 - C4) / C4 * 100</f>
        <v>0</v>
      </c>
      <c r="L4" s="12">
        <f t="shared" ref="L4:L25" si="2">(F4 - D4) / D4 * 100</f>
        <v>0</v>
      </c>
      <c r="M4" s="12">
        <f t="shared" ref="M4:M25" si="3">(G4 - D4) / D4 * 100</f>
        <v>0</v>
      </c>
      <c r="N4" s="12">
        <f t="shared" ref="N4:N25" si="4">(G4 - H4) / H4 * 100</f>
        <v>0</v>
      </c>
      <c r="O4" s="13"/>
      <c r="P4" s="13"/>
      <c r="Q4" s="14"/>
      <c r="R4" s="15"/>
      <c r="S4" s="14"/>
      <c r="T4" s="14"/>
      <c r="U4" s="14"/>
      <c r="V4" s="14"/>
      <c r="W4" s="16"/>
      <c r="X4" s="5"/>
    </row>
    <row r="5">
      <c r="A5" s="7" t="s">
        <v>15</v>
      </c>
      <c r="B5" s="7" t="s">
        <v>17</v>
      </c>
      <c r="C5" s="8">
        <v>4.0</v>
      </c>
      <c r="D5" s="9">
        <v>4.0</v>
      </c>
      <c r="E5" s="10">
        <v>0.0</v>
      </c>
      <c r="F5" s="11">
        <v>4.0</v>
      </c>
      <c r="G5" s="11">
        <v>4.0</v>
      </c>
      <c r="H5" s="11">
        <v>4.0</v>
      </c>
      <c r="I5" s="11">
        <v>13757.6</v>
      </c>
      <c r="J5" s="11">
        <v>0.0</v>
      </c>
      <c r="K5" s="12">
        <f t="shared" si="1"/>
        <v>0</v>
      </c>
      <c r="L5" s="12">
        <f t="shared" si="2"/>
        <v>0</v>
      </c>
      <c r="M5" s="12">
        <f t="shared" si="3"/>
        <v>0</v>
      </c>
      <c r="N5" s="12">
        <f t="shared" si="4"/>
        <v>0</v>
      </c>
      <c r="O5" s="13"/>
      <c r="P5" s="13"/>
      <c r="Q5" s="14"/>
      <c r="R5" s="15"/>
      <c r="S5" s="14"/>
      <c r="T5" s="14"/>
      <c r="U5" s="14"/>
      <c r="V5" s="14"/>
      <c r="W5" s="16"/>
      <c r="X5" s="17"/>
    </row>
    <row r="6">
      <c r="A6" s="7" t="s">
        <v>15</v>
      </c>
      <c r="B6" s="7" t="s">
        <v>18</v>
      </c>
      <c r="C6" s="8">
        <v>13.68</v>
      </c>
      <c r="D6" s="9">
        <v>13.92</v>
      </c>
      <c r="E6" s="10">
        <v>0.0</v>
      </c>
      <c r="F6" s="11">
        <v>13.68</v>
      </c>
      <c r="G6" s="11">
        <v>13.68</v>
      </c>
      <c r="H6" s="11">
        <v>14.0</v>
      </c>
      <c r="I6" s="11">
        <v>15216.32</v>
      </c>
      <c r="J6" s="11">
        <v>0.0</v>
      </c>
      <c r="K6" s="12">
        <f t="shared" si="1"/>
        <v>0</v>
      </c>
      <c r="L6" s="12">
        <f t="shared" si="2"/>
        <v>-1.724137931</v>
      </c>
      <c r="M6" s="12">
        <f t="shared" si="3"/>
        <v>-1.724137931</v>
      </c>
      <c r="N6" s="12">
        <f t="shared" si="4"/>
        <v>-2.285714286</v>
      </c>
      <c r="O6" s="13"/>
      <c r="P6" s="13"/>
      <c r="Q6" s="14"/>
      <c r="R6" s="15"/>
      <c r="S6" s="14"/>
      <c r="T6" s="14"/>
      <c r="U6" s="14"/>
      <c r="V6" s="14"/>
      <c r="W6" s="16"/>
      <c r="X6" s="17"/>
    </row>
    <row r="7">
      <c r="A7" s="7" t="s">
        <v>15</v>
      </c>
      <c r="B7" s="7" t="s">
        <v>19</v>
      </c>
      <c r="C7" s="8">
        <v>7.0</v>
      </c>
      <c r="D7" s="9">
        <v>7.0</v>
      </c>
      <c r="E7" s="10">
        <v>0.0</v>
      </c>
      <c r="F7" s="11">
        <v>7.0</v>
      </c>
      <c r="G7" s="11">
        <v>7.0</v>
      </c>
      <c r="H7" s="11">
        <v>7.0</v>
      </c>
      <c r="I7" s="11">
        <v>13362.8</v>
      </c>
      <c r="J7" s="11">
        <v>0.0</v>
      </c>
      <c r="K7" s="12">
        <f t="shared" si="1"/>
        <v>0</v>
      </c>
      <c r="L7" s="12">
        <f t="shared" si="2"/>
        <v>0</v>
      </c>
      <c r="M7" s="12">
        <f t="shared" si="3"/>
        <v>0</v>
      </c>
      <c r="N7" s="12">
        <f t="shared" si="4"/>
        <v>0</v>
      </c>
      <c r="O7" s="13"/>
      <c r="P7" s="13"/>
      <c r="Q7" s="14"/>
      <c r="R7" s="15"/>
      <c r="S7" s="14"/>
      <c r="T7" s="14"/>
      <c r="U7" s="14"/>
      <c r="V7" s="14"/>
      <c r="W7" s="16"/>
      <c r="X7" s="17"/>
    </row>
    <row r="8">
      <c r="A8" s="7" t="s">
        <v>15</v>
      </c>
      <c r="B8" s="7" t="s">
        <v>20</v>
      </c>
      <c r="C8" s="8">
        <v>7.0</v>
      </c>
      <c r="D8" s="9">
        <v>7.0</v>
      </c>
      <c r="E8" s="10">
        <v>0.0</v>
      </c>
      <c r="F8" s="11">
        <v>7.0</v>
      </c>
      <c r="G8" s="11">
        <v>7.0</v>
      </c>
      <c r="H8" s="11">
        <v>7.0</v>
      </c>
      <c r="I8" s="11">
        <v>13405.5</v>
      </c>
      <c r="J8" s="11">
        <v>0.0</v>
      </c>
      <c r="K8" s="12">
        <f t="shared" si="1"/>
        <v>0</v>
      </c>
      <c r="L8" s="12">
        <f t="shared" si="2"/>
        <v>0</v>
      </c>
      <c r="M8" s="12">
        <f t="shared" si="3"/>
        <v>0</v>
      </c>
      <c r="N8" s="12">
        <f t="shared" si="4"/>
        <v>0</v>
      </c>
      <c r="O8" s="13"/>
      <c r="P8" s="13"/>
      <c r="Q8" s="14"/>
      <c r="R8" s="15"/>
      <c r="S8" s="14"/>
      <c r="T8" s="14"/>
      <c r="U8" s="14"/>
      <c r="V8" s="14"/>
      <c r="W8" s="16"/>
      <c r="X8" s="17"/>
    </row>
    <row r="9">
      <c r="A9" s="7" t="s">
        <v>15</v>
      </c>
      <c r="B9" s="7" t="s">
        <v>21</v>
      </c>
      <c r="C9" s="8">
        <v>9.0</v>
      </c>
      <c r="D9" s="9">
        <v>9.0</v>
      </c>
      <c r="E9" s="10">
        <v>0.0</v>
      </c>
      <c r="F9" s="11">
        <v>9.0</v>
      </c>
      <c r="G9" s="11">
        <v>9.0</v>
      </c>
      <c r="H9" s="11">
        <v>9.0</v>
      </c>
      <c r="I9" s="11">
        <v>13382.4</v>
      </c>
      <c r="J9" s="11">
        <v>0.0</v>
      </c>
      <c r="K9" s="12">
        <f t="shared" si="1"/>
        <v>0</v>
      </c>
      <c r="L9" s="12">
        <f t="shared" si="2"/>
        <v>0</v>
      </c>
      <c r="M9" s="12">
        <f t="shared" si="3"/>
        <v>0</v>
      </c>
      <c r="N9" s="12">
        <f t="shared" si="4"/>
        <v>0</v>
      </c>
      <c r="O9" s="13"/>
      <c r="P9" s="13"/>
      <c r="Q9" s="14"/>
      <c r="R9" s="15"/>
      <c r="S9" s="14"/>
      <c r="T9" s="14"/>
      <c r="U9" s="14"/>
      <c r="V9" s="14"/>
      <c r="W9" s="16"/>
      <c r="X9" s="17"/>
    </row>
    <row r="10">
      <c r="A10" s="7" t="s">
        <v>15</v>
      </c>
      <c r="B10" s="7" t="s">
        <v>22</v>
      </c>
      <c r="C10" s="8">
        <v>12.0</v>
      </c>
      <c r="D10" s="9">
        <v>12.0</v>
      </c>
      <c r="E10" s="10">
        <v>0.0</v>
      </c>
      <c r="F10" s="11">
        <v>12.0</v>
      </c>
      <c r="G10" s="11">
        <v>12.0</v>
      </c>
      <c r="H10" s="11">
        <v>12.0</v>
      </c>
      <c r="I10" s="11">
        <v>13981.0</v>
      </c>
      <c r="J10" s="11">
        <v>0.0</v>
      </c>
      <c r="K10" s="12">
        <f t="shared" si="1"/>
        <v>0</v>
      </c>
      <c r="L10" s="12">
        <f t="shared" si="2"/>
        <v>0</v>
      </c>
      <c r="M10" s="12">
        <f t="shared" si="3"/>
        <v>0</v>
      </c>
      <c r="N10" s="12">
        <f t="shared" si="4"/>
        <v>0</v>
      </c>
      <c r="O10" s="13"/>
      <c r="P10" s="13"/>
      <c r="Q10" s="14"/>
      <c r="R10" s="15"/>
      <c r="S10" s="14"/>
      <c r="T10" s="14"/>
      <c r="U10" s="14"/>
      <c r="V10" s="14"/>
      <c r="W10" s="16"/>
      <c r="X10" s="17"/>
    </row>
    <row r="11">
      <c r="A11" s="7" t="s">
        <v>15</v>
      </c>
      <c r="B11" s="7" t="s">
        <v>23</v>
      </c>
      <c r="C11" s="8">
        <v>12.0</v>
      </c>
      <c r="D11" s="9">
        <v>12.0</v>
      </c>
      <c r="E11" s="10">
        <v>0.0</v>
      </c>
      <c r="F11" s="11">
        <v>12.0</v>
      </c>
      <c r="G11" s="11">
        <v>12.0</v>
      </c>
      <c r="H11" s="11">
        <v>12.0</v>
      </c>
      <c r="I11" s="11">
        <v>14325.7</v>
      </c>
      <c r="J11" s="11">
        <v>0.0</v>
      </c>
      <c r="K11" s="12">
        <f t="shared" si="1"/>
        <v>0</v>
      </c>
      <c r="L11" s="12">
        <f t="shared" si="2"/>
        <v>0</v>
      </c>
      <c r="M11" s="12">
        <f t="shared" si="3"/>
        <v>0</v>
      </c>
      <c r="N11" s="12">
        <f t="shared" si="4"/>
        <v>0</v>
      </c>
      <c r="O11" s="13"/>
      <c r="P11" s="13"/>
      <c r="Q11" s="16"/>
      <c r="R11" s="13"/>
      <c r="S11" s="16"/>
      <c r="T11" s="16"/>
      <c r="U11" s="16"/>
      <c r="V11" s="16"/>
      <c r="W11" s="16"/>
      <c r="X11" s="17"/>
    </row>
    <row r="12">
      <c r="A12" s="7" t="s">
        <v>15</v>
      </c>
      <c r="B12" s="7" t="s">
        <v>24</v>
      </c>
      <c r="C12" s="8">
        <v>13.0</v>
      </c>
      <c r="D12" s="9">
        <v>13.0</v>
      </c>
      <c r="E12" s="10">
        <v>0.0</v>
      </c>
      <c r="F12" s="11">
        <v>13.0</v>
      </c>
      <c r="G12" s="11">
        <v>13.0</v>
      </c>
      <c r="H12" s="11">
        <v>13.0</v>
      </c>
      <c r="I12" s="11">
        <v>15320.2</v>
      </c>
      <c r="J12" s="11">
        <v>0.0</v>
      </c>
      <c r="K12" s="12">
        <f t="shared" si="1"/>
        <v>0</v>
      </c>
      <c r="L12" s="12">
        <f t="shared" si="2"/>
        <v>0</v>
      </c>
      <c r="M12" s="12">
        <f t="shared" si="3"/>
        <v>0</v>
      </c>
      <c r="N12" s="12">
        <f t="shared" si="4"/>
        <v>0</v>
      </c>
      <c r="O12" s="13"/>
      <c r="P12" s="13"/>
      <c r="Q12" s="16"/>
      <c r="R12" s="13"/>
      <c r="S12" s="16"/>
      <c r="T12" s="16"/>
      <c r="U12" s="16"/>
      <c r="V12" s="16"/>
      <c r="W12" s="16"/>
      <c r="X12" s="17"/>
    </row>
    <row r="13">
      <c r="A13" s="18" t="s">
        <v>15</v>
      </c>
      <c r="B13" s="7" t="s">
        <v>25</v>
      </c>
      <c r="C13" s="8">
        <v>45.0</v>
      </c>
      <c r="D13" s="9">
        <v>45.0</v>
      </c>
      <c r="E13" s="19">
        <v>0.01</v>
      </c>
      <c r="F13" s="11">
        <v>45.0</v>
      </c>
      <c r="G13" s="11">
        <v>45.0</v>
      </c>
      <c r="H13" s="11">
        <v>45.0</v>
      </c>
      <c r="I13" s="11">
        <v>45238.6</v>
      </c>
      <c r="J13" s="11">
        <v>0.0</v>
      </c>
      <c r="K13" s="12">
        <f t="shared" si="1"/>
        <v>0</v>
      </c>
      <c r="L13" s="12">
        <f t="shared" si="2"/>
        <v>0</v>
      </c>
      <c r="M13" s="12">
        <f t="shared" si="3"/>
        <v>0</v>
      </c>
      <c r="N13" s="12">
        <f t="shared" si="4"/>
        <v>0</v>
      </c>
      <c r="O13" s="20"/>
      <c r="P13" s="13"/>
      <c r="R13" s="20"/>
      <c r="U13" s="14"/>
      <c r="V13" s="14"/>
      <c r="W13" s="14"/>
      <c r="X13" s="17"/>
    </row>
    <row r="14">
      <c r="A14" s="18" t="s">
        <v>15</v>
      </c>
      <c r="B14" s="7" t="s">
        <v>26</v>
      </c>
      <c r="C14" s="8">
        <v>40.0</v>
      </c>
      <c r="D14" s="9">
        <v>40.0</v>
      </c>
      <c r="E14" s="19">
        <v>0.01</v>
      </c>
      <c r="F14" s="11">
        <v>40.0</v>
      </c>
      <c r="G14" s="11">
        <v>40.0</v>
      </c>
      <c r="H14" s="11">
        <v>40.0</v>
      </c>
      <c r="I14" s="11">
        <v>37784.6</v>
      </c>
      <c r="J14" s="11">
        <v>0.0</v>
      </c>
      <c r="K14" s="12">
        <f t="shared" si="1"/>
        <v>0</v>
      </c>
      <c r="L14" s="12">
        <f t="shared" si="2"/>
        <v>0</v>
      </c>
      <c r="M14" s="12">
        <f t="shared" si="3"/>
        <v>0</v>
      </c>
      <c r="N14" s="12">
        <f t="shared" si="4"/>
        <v>0</v>
      </c>
      <c r="O14" s="20"/>
      <c r="P14" s="13"/>
      <c r="R14" s="20"/>
      <c r="U14" s="14"/>
      <c r="V14" s="14"/>
      <c r="W14" s="14"/>
      <c r="X14" s="17"/>
    </row>
    <row r="15">
      <c r="A15" s="18" t="s">
        <v>15</v>
      </c>
      <c r="B15" s="7" t="s">
        <v>27</v>
      </c>
      <c r="C15" s="8">
        <v>40.0</v>
      </c>
      <c r="D15" s="9">
        <v>41.0</v>
      </c>
      <c r="E15" s="19">
        <v>0.01</v>
      </c>
      <c r="F15" s="11">
        <v>40.0</v>
      </c>
      <c r="G15" s="11">
        <v>40.9</v>
      </c>
      <c r="H15" s="11">
        <v>40.0</v>
      </c>
      <c r="I15" s="11">
        <v>39160.4</v>
      </c>
      <c r="J15" s="11">
        <v>0.32</v>
      </c>
      <c r="K15" s="12">
        <f t="shared" si="1"/>
        <v>0</v>
      </c>
      <c r="L15" s="12">
        <f t="shared" si="2"/>
        <v>-2.43902439</v>
      </c>
      <c r="M15" s="12">
        <f t="shared" si="3"/>
        <v>-0.243902439</v>
      </c>
      <c r="N15" s="12">
        <f t="shared" si="4"/>
        <v>2.25</v>
      </c>
      <c r="O15" s="20"/>
      <c r="P15" s="13"/>
      <c r="R15" s="20"/>
      <c r="U15" s="14"/>
      <c r="V15" s="14"/>
      <c r="W15" s="14"/>
      <c r="X15" s="17"/>
    </row>
    <row r="16">
      <c r="A16" s="18" t="s">
        <v>15</v>
      </c>
      <c r="B16" s="7" t="s">
        <v>28</v>
      </c>
      <c r="C16" s="8">
        <v>30.0</v>
      </c>
      <c r="D16" s="9">
        <v>31.0</v>
      </c>
      <c r="E16" s="19">
        <v>0.0</v>
      </c>
      <c r="F16" s="11">
        <v>30.0</v>
      </c>
      <c r="G16" s="11">
        <v>30.8</v>
      </c>
      <c r="H16" s="11">
        <v>30.0</v>
      </c>
      <c r="I16" s="11">
        <v>34688.1</v>
      </c>
      <c r="J16" s="11">
        <v>0.42</v>
      </c>
      <c r="K16" s="12">
        <f t="shared" si="1"/>
        <v>0</v>
      </c>
      <c r="L16" s="12">
        <f t="shared" si="2"/>
        <v>-3.225806452</v>
      </c>
      <c r="M16" s="12">
        <f t="shared" si="3"/>
        <v>-0.6451612903</v>
      </c>
      <c r="N16" s="12">
        <f t="shared" si="4"/>
        <v>2.666666667</v>
      </c>
      <c r="O16" s="20"/>
      <c r="P16" s="13"/>
      <c r="R16" s="20"/>
      <c r="U16" s="14"/>
      <c r="V16" s="14"/>
      <c r="W16" s="14"/>
      <c r="X16" s="17"/>
    </row>
    <row r="17">
      <c r="A17" s="18" t="s">
        <v>15</v>
      </c>
      <c r="B17" s="7" t="s">
        <v>29</v>
      </c>
      <c r="C17" s="8">
        <v>19.0</v>
      </c>
      <c r="D17" s="9">
        <v>22.0</v>
      </c>
      <c r="E17" s="19">
        <v>0.0</v>
      </c>
      <c r="F17" s="11">
        <v>19.0</v>
      </c>
      <c r="G17" s="11">
        <v>19.0</v>
      </c>
      <c r="H17" s="11">
        <v>23.0</v>
      </c>
      <c r="I17" s="11">
        <v>15926.8</v>
      </c>
      <c r="J17" s="11">
        <v>0.0</v>
      </c>
      <c r="K17" s="12">
        <f t="shared" si="1"/>
        <v>0</v>
      </c>
      <c r="L17" s="12">
        <f t="shared" si="2"/>
        <v>-13.63636364</v>
      </c>
      <c r="M17" s="12">
        <f t="shared" si="3"/>
        <v>-13.63636364</v>
      </c>
      <c r="N17" s="12">
        <f t="shared" si="4"/>
        <v>-17.39130435</v>
      </c>
      <c r="O17" s="20"/>
      <c r="P17" s="13"/>
      <c r="R17" s="20"/>
      <c r="U17" s="14"/>
      <c r="V17" s="14"/>
      <c r="W17" s="14"/>
      <c r="X17" s="17"/>
    </row>
    <row r="18">
      <c r="A18" s="18" t="s">
        <v>15</v>
      </c>
      <c r="B18" s="7" t="s">
        <v>30</v>
      </c>
      <c r="C18" s="8">
        <v>10.0</v>
      </c>
      <c r="D18" s="9">
        <v>10.0</v>
      </c>
      <c r="E18" s="19">
        <v>0.0</v>
      </c>
      <c r="F18" s="11">
        <v>10.0</v>
      </c>
      <c r="G18" s="11">
        <v>10.0</v>
      </c>
      <c r="H18" s="11">
        <v>10.0</v>
      </c>
      <c r="I18" s="11">
        <v>14952.0</v>
      </c>
      <c r="J18" s="11">
        <v>0.0</v>
      </c>
      <c r="K18" s="12">
        <f t="shared" si="1"/>
        <v>0</v>
      </c>
      <c r="L18" s="12">
        <f t="shared" si="2"/>
        <v>0</v>
      </c>
      <c r="M18" s="12">
        <f t="shared" si="3"/>
        <v>0</v>
      </c>
      <c r="N18" s="12">
        <f t="shared" si="4"/>
        <v>0</v>
      </c>
      <c r="O18" s="20"/>
      <c r="P18" s="13"/>
      <c r="R18" s="20"/>
      <c r="U18" s="14"/>
      <c r="V18" s="14"/>
      <c r="W18" s="14"/>
      <c r="X18" s="17"/>
    </row>
    <row r="19">
      <c r="A19" s="18" t="s">
        <v>15</v>
      </c>
      <c r="B19" s="18" t="s">
        <v>31</v>
      </c>
      <c r="C19" s="8">
        <v>16.0</v>
      </c>
      <c r="D19" s="9">
        <v>16.0</v>
      </c>
      <c r="E19" s="19">
        <v>0.0</v>
      </c>
      <c r="F19" s="11">
        <v>16.0</v>
      </c>
      <c r="G19" s="11">
        <v>16.0</v>
      </c>
      <c r="H19" s="11">
        <v>16.0</v>
      </c>
      <c r="I19" s="11">
        <v>17079.7</v>
      </c>
      <c r="J19" s="11">
        <v>0.0</v>
      </c>
      <c r="K19" s="12">
        <f t="shared" si="1"/>
        <v>0</v>
      </c>
      <c r="L19" s="12">
        <f t="shared" si="2"/>
        <v>0</v>
      </c>
      <c r="M19" s="12">
        <f t="shared" si="3"/>
        <v>0</v>
      </c>
      <c r="N19" s="12">
        <f t="shared" si="4"/>
        <v>0</v>
      </c>
      <c r="O19" s="20"/>
      <c r="P19" s="20"/>
      <c r="R19" s="20"/>
      <c r="U19" s="14"/>
      <c r="V19" s="14"/>
      <c r="W19" s="14"/>
      <c r="X19" s="17"/>
    </row>
    <row r="20">
      <c r="A20" s="18" t="s">
        <v>15</v>
      </c>
      <c r="B20" s="18" t="s">
        <v>32</v>
      </c>
      <c r="C20" s="8">
        <v>34.0</v>
      </c>
      <c r="D20" s="9">
        <v>40.0</v>
      </c>
      <c r="E20" s="19">
        <v>0.0</v>
      </c>
      <c r="F20" s="11">
        <v>34.0</v>
      </c>
      <c r="G20" s="11">
        <v>34.0</v>
      </c>
      <c r="H20" s="11">
        <v>37.0</v>
      </c>
      <c r="I20" s="11">
        <v>18206.3</v>
      </c>
      <c r="J20" s="11">
        <v>0.0</v>
      </c>
      <c r="K20" s="12">
        <f t="shared" si="1"/>
        <v>0</v>
      </c>
      <c r="L20" s="12">
        <f t="shared" si="2"/>
        <v>-15</v>
      </c>
      <c r="M20" s="12">
        <f t="shared" si="3"/>
        <v>-15</v>
      </c>
      <c r="N20" s="12">
        <f t="shared" si="4"/>
        <v>-8.108108108</v>
      </c>
      <c r="O20" s="20"/>
      <c r="P20" s="20"/>
      <c r="R20" s="20"/>
      <c r="U20" s="14"/>
      <c r="V20" s="14"/>
      <c r="W20" s="14"/>
      <c r="X20" s="17"/>
    </row>
    <row r="21">
      <c r="A21" s="18" t="s">
        <v>15</v>
      </c>
      <c r="B21" s="18" t="s">
        <v>33</v>
      </c>
      <c r="C21" s="8">
        <v>95.0</v>
      </c>
      <c r="D21" s="9">
        <v>96.0</v>
      </c>
      <c r="E21" s="19">
        <v>0.17</v>
      </c>
      <c r="F21" s="11">
        <v>95.0</v>
      </c>
      <c r="G21" s="11">
        <v>95.1</v>
      </c>
      <c r="H21" s="11">
        <v>96.0</v>
      </c>
      <c r="I21" s="11">
        <v>151319.5</v>
      </c>
      <c r="J21" s="11">
        <v>0.32</v>
      </c>
      <c r="K21" s="12">
        <f t="shared" si="1"/>
        <v>0</v>
      </c>
      <c r="L21" s="12">
        <f t="shared" si="2"/>
        <v>-1.041666667</v>
      </c>
      <c r="M21" s="12">
        <f t="shared" si="3"/>
        <v>-0.9375</v>
      </c>
      <c r="N21" s="12">
        <f t="shared" si="4"/>
        <v>-0.9375</v>
      </c>
      <c r="O21" s="20"/>
      <c r="P21" s="20"/>
      <c r="R21" s="20"/>
      <c r="U21" s="14"/>
      <c r="V21" s="14"/>
      <c r="W21" s="14"/>
      <c r="X21" s="17"/>
    </row>
    <row r="22">
      <c r="A22" s="18" t="s">
        <v>15</v>
      </c>
      <c r="B22" s="18" t="s">
        <v>34</v>
      </c>
      <c r="C22" s="8">
        <v>75.0</v>
      </c>
      <c r="D22" s="9">
        <v>75.0</v>
      </c>
      <c r="E22" s="19">
        <v>0.11</v>
      </c>
      <c r="F22" s="11">
        <v>76.0</v>
      </c>
      <c r="G22" s="11">
        <v>76.8</v>
      </c>
      <c r="H22" s="11">
        <v>75.0</v>
      </c>
      <c r="I22" s="11">
        <v>121879.4</v>
      </c>
      <c r="J22" s="11">
        <v>0.42</v>
      </c>
      <c r="K22" s="12">
        <f t="shared" si="1"/>
        <v>1.333333333</v>
      </c>
      <c r="L22" s="12">
        <f t="shared" si="2"/>
        <v>1.333333333</v>
      </c>
      <c r="M22" s="12">
        <f t="shared" si="3"/>
        <v>2.4</v>
      </c>
      <c r="N22" s="12">
        <f t="shared" si="4"/>
        <v>2.4</v>
      </c>
      <c r="O22" s="20"/>
      <c r="P22" s="20"/>
      <c r="R22" s="20"/>
      <c r="U22" s="14"/>
      <c r="V22" s="14"/>
      <c r="W22" s="14"/>
      <c r="X22" s="17"/>
    </row>
    <row r="23">
      <c r="A23" s="18" t="s">
        <v>15</v>
      </c>
      <c r="B23" s="18" t="s">
        <v>35</v>
      </c>
      <c r="C23" s="8">
        <v>75.0</v>
      </c>
      <c r="D23" s="9">
        <v>75.0</v>
      </c>
      <c r="E23" s="19">
        <v>0.11</v>
      </c>
      <c r="F23" s="11">
        <v>77.0</v>
      </c>
      <c r="G23" s="11">
        <v>77.0</v>
      </c>
      <c r="H23" s="11">
        <v>75.0</v>
      </c>
      <c r="I23" s="11">
        <v>122094.9</v>
      </c>
      <c r="J23" s="11">
        <v>0.0</v>
      </c>
      <c r="K23" s="12">
        <f t="shared" si="1"/>
        <v>2.666666667</v>
      </c>
      <c r="L23" s="12">
        <f t="shared" si="2"/>
        <v>2.666666667</v>
      </c>
      <c r="M23" s="12">
        <f t="shared" si="3"/>
        <v>2.666666667</v>
      </c>
      <c r="N23" s="12">
        <f t="shared" si="4"/>
        <v>2.666666667</v>
      </c>
      <c r="O23" s="20"/>
      <c r="P23" s="20"/>
      <c r="R23" s="20"/>
      <c r="U23" s="14"/>
      <c r="V23" s="14"/>
      <c r="W23" s="14"/>
      <c r="X23" s="17"/>
    </row>
    <row r="24">
      <c r="A24" s="18" t="s">
        <v>15</v>
      </c>
      <c r="B24" s="18" t="s">
        <v>36</v>
      </c>
      <c r="C24" s="8">
        <v>60.0</v>
      </c>
      <c r="D24" s="9">
        <v>61.0</v>
      </c>
      <c r="E24" s="19">
        <v>0.08</v>
      </c>
      <c r="F24" s="11">
        <v>62.0</v>
      </c>
      <c r="G24" s="11">
        <v>62.0</v>
      </c>
      <c r="H24" s="11">
        <v>61.0</v>
      </c>
      <c r="I24" s="11">
        <v>103431.0</v>
      </c>
      <c r="J24" s="11">
        <v>0.0</v>
      </c>
      <c r="K24" s="12">
        <f t="shared" si="1"/>
        <v>3.333333333</v>
      </c>
      <c r="L24" s="12">
        <f t="shared" si="2"/>
        <v>1.639344262</v>
      </c>
      <c r="M24" s="12">
        <f t="shared" si="3"/>
        <v>1.639344262</v>
      </c>
      <c r="N24" s="12">
        <f t="shared" si="4"/>
        <v>1.639344262</v>
      </c>
      <c r="O24" s="20"/>
      <c r="P24" s="20"/>
      <c r="R24" s="20"/>
      <c r="U24" s="14"/>
      <c r="V24" s="14"/>
      <c r="W24" s="14"/>
      <c r="X24" s="17"/>
    </row>
    <row r="25">
      <c r="A25" s="18" t="s">
        <v>15</v>
      </c>
      <c r="B25" s="18" t="s">
        <v>37</v>
      </c>
      <c r="C25" s="8">
        <v>53.0</v>
      </c>
      <c r="D25" s="9">
        <v>57.0</v>
      </c>
      <c r="E25" s="19">
        <v>0.0</v>
      </c>
      <c r="F25" s="11">
        <v>53.0</v>
      </c>
      <c r="G25" s="11">
        <v>53.0</v>
      </c>
      <c r="H25" s="11">
        <v>57.0</v>
      </c>
      <c r="I25" s="11">
        <v>21533.2</v>
      </c>
      <c r="J25" s="11">
        <v>0.0</v>
      </c>
      <c r="K25" s="12">
        <f t="shared" si="1"/>
        <v>0</v>
      </c>
      <c r="L25" s="12">
        <f t="shared" si="2"/>
        <v>-7.01754386</v>
      </c>
      <c r="M25" s="12">
        <f t="shared" si="3"/>
        <v>-7.01754386</v>
      </c>
      <c r="N25" s="12">
        <f t="shared" si="4"/>
        <v>-7.01754386</v>
      </c>
      <c r="O25" s="20"/>
      <c r="P25" s="20"/>
      <c r="R25" s="20"/>
      <c r="U25" s="14"/>
      <c r="V25" s="14"/>
      <c r="W25" s="14"/>
      <c r="X25" s="17"/>
    </row>
    <row r="26">
      <c r="A26" s="21" t="s">
        <v>38</v>
      </c>
      <c r="B26" s="22"/>
      <c r="C26" s="23"/>
      <c r="D26" s="23"/>
      <c r="E26" s="23"/>
      <c r="F26" s="24"/>
      <c r="G26" s="24"/>
      <c r="H26" s="23"/>
      <c r="I26" s="24"/>
      <c r="J26" s="23"/>
      <c r="K26" s="12">
        <f>IFERROR(__xludf.DUMMYFUNCTION("AVERAGE( FILTER( VALUE(K4:K25) , VALUE(K4:K25) &lt;&gt; 0 ) )"),2.4444444444444446)</f>
        <v>2.444444444</v>
      </c>
      <c r="L26" s="12">
        <f>IFERROR(__xludf.DUMMYFUNCTION("AVERAGE( FILTER( VALUE(L4:L25) , VALUE(L4:L25) &lt;&gt; 0 ) )"),-3.8445198673275636)</f>
        <v>-3.844519867</v>
      </c>
      <c r="M26" s="12">
        <f>IFERROR(__xludf.DUMMYFUNCTION("AVERAGE( FILTER( VALUE(M4:M25) , VALUE(M4:M25) &lt;&gt; 0 ) )"),-3.2498598227432476)</f>
        <v>-3.249859823</v>
      </c>
      <c r="N26" s="12">
        <f>IFERROR(__xludf.DUMMYFUNCTION("AVERAGE( FILTER( VALUE(N4:N25) , VALUE(N4:N25) &lt;&gt; 0 ) )"),-2.41174930056692)</f>
        <v>-2.411749301</v>
      </c>
      <c r="O26" s="25"/>
      <c r="P26" s="25"/>
      <c r="R26" s="25"/>
      <c r="U26" s="26"/>
      <c r="V26" s="17"/>
      <c r="W26" s="17"/>
      <c r="X26" s="17"/>
    </row>
    <row r="27">
      <c r="A27" s="27"/>
      <c r="B27" s="28"/>
      <c r="C27" s="29"/>
      <c r="D27" s="29"/>
      <c r="E27" s="29"/>
      <c r="F27" s="30"/>
      <c r="G27" s="30"/>
      <c r="H27" s="29"/>
      <c r="I27" s="30"/>
      <c r="J27" s="29"/>
      <c r="K27" s="12"/>
      <c r="L27" s="12"/>
      <c r="M27" s="12"/>
      <c r="N27" s="12"/>
      <c r="O27" s="25"/>
      <c r="P27" s="25"/>
      <c r="R27" s="25"/>
      <c r="U27" s="26"/>
      <c r="V27" s="17"/>
      <c r="W27" s="17"/>
      <c r="X27" s="17"/>
    </row>
    <row r="28">
      <c r="A28" s="27"/>
      <c r="B28" s="28"/>
      <c r="C28" s="29"/>
      <c r="D28" s="29"/>
      <c r="E28" s="29"/>
      <c r="F28" s="30"/>
      <c r="G28" s="30"/>
      <c r="H28" s="29"/>
      <c r="I28" s="30"/>
      <c r="J28" s="29"/>
      <c r="K28" s="12"/>
      <c r="L28" s="12"/>
      <c r="M28" s="12"/>
      <c r="N28" s="12"/>
      <c r="O28" s="25"/>
      <c r="P28" s="25"/>
      <c r="R28" s="25"/>
      <c r="U28" s="26"/>
      <c r="V28" s="17"/>
      <c r="W28" s="17"/>
      <c r="X28" s="17"/>
    </row>
    <row r="29">
      <c r="A29" s="4"/>
      <c r="B29" s="5"/>
      <c r="C29" s="6" t="s">
        <v>0</v>
      </c>
      <c r="D29" s="6" t="s">
        <v>1</v>
      </c>
      <c r="F29" s="6" t="s">
        <v>2</v>
      </c>
      <c r="K29" s="5"/>
      <c r="L29" s="5"/>
      <c r="M29" s="5"/>
      <c r="N29" s="5"/>
      <c r="O29" s="25"/>
      <c r="P29" s="25"/>
      <c r="R29" s="25"/>
      <c r="U29" s="26"/>
      <c r="V29" s="17"/>
      <c r="W29" s="17"/>
      <c r="X29" s="17"/>
    </row>
    <row r="30">
      <c r="A30" s="6" t="s">
        <v>3</v>
      </c>
      <c r="B30" s="6" t="s">
        <v>4</v>
      </c>
      <c r="C30" s="6" t="s">
        <v>5</v>
      </c>
      <c r="D30" s="6" t="s">
        <v>5</v>
      </c>
      <c r="E30" s="6" t="s">
        <v>6</v>
      </c>
      <c r="F30" s="6" t="s">
        <v>7</v>
      </c>
      <c r="G30" s="6" t="s">
        <v>8</v>
      </c>
      <c r="H30" s="6" t="s">
        <v>9</v>
      </c>
      <c r="I30" s="6" t="s">
        <v>6</v>
      </c>
      <c r="J30" s="6" t="s">
        <v>10</v>
      </c>
      <c r="K30" s="6" t="s">
        <v>11</v>
      </c>
      <c r="L30" s="6" t="s">
        <v>12</v>
      </c>
      <c r="M30" s="6" t="s">
        <v>13</v>
      </c>
      <c r="N30" s="6" t="s">
        <v>14</v>
      </c>
      <c r="O30" s="20"/>
      <c r="P30" s="20"/>
      <c r="R30" s="20"/>
      <c r="U30" s="14"/>
      <c r="V30" s="14"/>
      <c r="W30" s="14"/>
      <c r="X30" s="17"/>
    </row>
    <row r="31">
      <c r="A31" s="18" t="s">
        <v>39</v>
      </c>
      <c r="B31" s="18" t="s">
        <v>40</v>
      </c>
      <c r="C31" s="8">
        <v>5.0</v>
      </c>
      <c r="D31" s="9">
        <v>5.0</v>
      </c>
      <c r="E31" s="19">
        <v>0.0</v>
      </c>
      <c r="F31" s="11">
        <v>5.0</v>
      </c>
      <c r="G31" s="11">
        <v>5.0</v>
      </c>
      <c r="H31" s="11">
        <v>5.0</v>
      </c>
      <c r="I31" s="11">
        <v>13230.4</v>
      </c>
      <c r="J31" s="11">
        <v>0.0</v>
      </c>
      <c r="K31" s="12">
        <f t="shared" ref="K31:K54" si="5">(F31 - C31) / C31 * 100</f>
        <v>0</v>
      </c>
      <c r="L31" s="12">
        <f t="shared" ref="L31:L54" si="6">(F31 - D31) / D31 * 100</f>
        <v>0</v>
      </c>
      <c r="M31" s="12">
        <f t="shared" ref="M31:M54" si="7">(G31 - D31) / D31 * 100</f>
        <v>0</v>
      </c>
      <c r="N31" s="12">
        <f t="shared" ref="N31:N54" si="8">(G31 - H31) / H31 * 100</f>
        <v>0</v>
      </c>
      <c r="O31" s="20"/>
      <c r="P31" s="20"/>
      <c r="R31" s="20"/>
      <c r="U31" s="14"/>
      <c r="V31" s="14"/>
      <c r="W31" s="14"/>
      <c r="X31" s="17"/>
    </row>
    <row r="32">
      <c r="A32" s="18" t="s">
        <v>39</v>
      </c>
      <c r="B32" s="18" t="s">
        <v>41</v>
      </c>
      <c r="C32" s="8">
        <v>10.0</v>
      </c>
      <c r="D32" s="9">
        <v>10.0</v>
      </c>
      <c r="E32" s="19">
        <v>0.0</v>
      </c>
      <c r="F32" s="11">
        <v>10.0</v>
      </c>
      <c r="G32" s="11">
        <v>10.0</v>
      </c>
      <c r="H32" s="11">
        <v>10.0</v>
      </c>
      <c r="I32" s="11">
        <v>13187.7</v>
      </c>
      <c r="J32" s="11">
        <v>0.0</v>
      </c>
      <c r="K32" s="12">
        <f t="shared" si="5"/>
        <v>0</v>
      </c>
      <c r="L32" s="12">
        <f t="shared" si="6"/>
        <v>0</v>
      </c>
      <c r="M32" s="12">
        <f t="shared" si="7"/>
        <v>0</v>
      </c>
      <c r="N32" s="12">
        <f t="shared" si="8"/>
        <v>0</v>
      </c>
      <c r="O32" s="20"/>
      <c r="P32" s="20"/>
      <c r="R32" s="20"/>
      <c r="U32" s="14"/>
      <c r="V32" s="14"/>
      <c r="W32" s="14"/>
      <c r="X32" s="17"/>
    </row>
    <row r="33">
      <c r="A33" s="18" t="s">
        <v>39</v>
      </c>
      <c r="B33" s="18" t="s">
        <v>42</v>
      </c>
      <c r="C33" s="8">
        <v>5.0</v>
      </c>
      <c r="D33" s="9">
        <v>5.0</v>
      </c>
      <c r="E33" s="19">
        <v>0.0</v>
      </c>
      <c r="F33" s="11">
        <v>5.0</v>
      </c>
      <c r="G33" s="11">
        <v>5.0</v>
      </c>
      <c r="H33" s="11">
        <v>5.0</v>
      </c>
      <c r="I33" s="11">
        <v>13121.0</v>
      </c>
      <c r="J33" s="11">
        <v>0.0</v>
      </c>
      <c r="K33" s="12">
        <f t="shared" si="5"/>
        <v>0</v>
      </c>
      <c r="L33" s="12">
        <f t="shared" si="6"/>
        <v>0</v>
      </c>
      <c r="M33" s="12">
        <f t="shared" si="7"/>
        <v>0</v>
      </c>
      <c r="N33" s="12">
        <f t="shared" si="8"/>
        <v>0</v>
      </c>
      <c r="O33" s="20"/>
      <c r="P33" s="20"/>
      <c r="R33" s="20"/>
      <c r="U33" s="14"/>
      <c r="V33" s="14"/>
      <c r="W33" s="14"/>
      <c r="X33" s="17"/>
    </row>
    <row r="34">
      <c r="A34" s="18" t="s">
        <v>39</v>
      </c>
      <c r="B34" s="18" t="s">
        <v>43</v>
      </c>
      <c r="C34" s="8">
        <v>6.0</v>
      </c>
      <c r="D34" s="9">
        <v>6.0</v>
      </c>
      <c r="E34" s="19">
        <v>0.0</v>
      </c>
      <c r="F34" s="11">
        <v>6.0</v>
      </c>
      <c r="G34" s="11">
        <v>6.0</v>
      </c>
      <c r="H34" s="11">
        <v>6.0</v>
      </c>
      <c r="I34" s="11">
        <v>13169.6</v>
      </c>
      <c r="J34" s="11">
        <v>0.0</v>
      </c>
      <c r="K34" s="12">
        <f t="shared" si="5"/>
        <v>0</v>
      </c>
      <c r="L34" s="12">
        <f t="shared" si="6"/>
        <v>0</v>
      </c>
      <c r="M34" s="12">
        <f t="shared" si="7"/>
        <v>0</v>
      </c>
      <c r="N34" s="12">
        <f t="shared" si="8"/>
        <v>0</v>
      </c>
      <c r="O34" s="20"/>
      <c r="P34" s="20"/>
      <c r="R34" s="20"/>
      <c r="U34" s="14"/>
      <c r="V34" s="14"/>
      <c r="W34" s="14"/>
      <c r="X34" s="17"/>
    </row>
    <row r="35">
      <c r="A35" s="18" t="s">
        <v>39</v>
      </c>
      <c r="B35" s="18" t="s">
        <v>44</v>
      </c>
      <c r="C35" s="8">
        <v>5.0</v>
      </c>
      <c r="D35" s="9">
        <v>5.0</v>
      </c>
      <c r="E35" s="19">
        <v>0.0</v>
      </c>
      <c r="F35" s="11">
        <v>5.0</v>
      </c>
      <c r="G35" s="11">
        <v>5.0</v>
      </c>
      <c r="H35" s="11">
        <v>5.0</v>
      </c>
      <c r="I35" s="11">
        <v>13174.0</v>
      </c>
      <c r="J35" s="11">
        <v>0.0</v>
      </c>
      <c r="K35" s="12">
        <f t="shared" si="5"/>
        <v>0</v>
      </c>
      <c r="L35" s="12">
        <f t="shared" si="6"/>
        <v>0</v>
      </c>
      <c r="M35" s="12">
        <f t="shared" si="7"/>
        <v>0</v>
      </c>
      <c r="N35" s="12">
        <f t="shared" si="8"/>
        <v>0</v>
      </c>
      <c r="O35" s="20"/>
      <c r="P35" s="20"/>
      <c r="R35" s="20"/>
      <c r="U35" s="14"/>
      <c r="V35" s="14"/>
      <c r="W35" s="14"/>
      <c r="X35" s="17"/>
    </row>
    <row r="36">
      <c r="A36" s="18" t="s">
        <v>39</v>
      </c>
      <c r="B36" s="18" t="s">
        <v>45</v>
      </c>
      <c r="C36" s="8">
        <v>4.0</v>
      </c>
      <c r="D36" s="9">
        <v>4.0</v>
      </c>
      <c r="E36" s="19">
        <v>0.0</v>
      </c>
      <c r="F36" s="11">
        <v>4.0</v>
      </c>
      <c r="G36" s="11">
        <v>4.0</v>
      </c>
      <c r="H36" s="11">
        <v>4.0</v>
      </c>
      <c r="I36" s="11">
        <v>13608.3</v>
      </c>
      <c r="J36" s="11">
        <v>0.0</v>
      </c>
      <c r="K36" s="12">
        <f t="shared" si="5"/>
        <v>0</v>
      </c>
      <c r="L36" s="12">
        <f t="shared" si="6"/>
        <v>0</v>
      </c>
      <c r="M36" s="12">
        <f t="shared" si="7"/>
        <v>0</v>
      </c>
      <c r="N36" s="12">
        <f t="shared" si="8"/>
        <v>0</v>
      </c>
      <c r="O36" s="20"/>
      <c r="P36" s="20"/>
      <c r="R36" s="20"/>
      <c r="U36" s="14"/>
      <c r="V36" s="14"/>
      <c r="W36" s="14"/>
      <c r="X36" s="17"/>
    </row>
    <row r="37">
      <c r="A37" s="18" t="s">
        <v>39</v>
      </c>
      <c r="B37" s="18" t="s">
        <v>46</v>
      </c>
      <c r="C37" s="8">
        <v>6.0</v>
      </c>
      <c r="D37" s="9">
        <v>7.0</v>
      </c>
      <c r="E37" s="19">
        <v>0.0</v>
      </c>
      <c r="F37" s="11">
        <v>6.0</v>
      </c>
      <c r="G37" s="11">
        <v>6.0</v>
      </c>
      <c r="H37" s="11">
        <v>7.0</v>
      </c>
      <c r="I37" s="11">
        <v>13384.4</v>
      </c>
      <c r="J37" s="11">
        <v>0.0</v>
      </c>
      <c r="K37" s="12">
        <f t="shared" si="5"/>
        <v>0</v>
      </c>
      <c r="L37" s="12">
        <f t="shared" si="6"/>
        <v>-14.28571429</v>
      </c>
      <c r="M37" s="12">
        <f t="shared" si="7"/>
        <v>-14.28571429</v>
      </c>
      <c r="N37" s="12">
        <f t="shared" si="8"/>
        <v>-14.28571429</v>
      </c>
      <c r="O37" s="20"/>
      <c r="P37" s="20"/>
      <c r="R37" s="20"/>
      <c r="U37" s="14"/>
      <c r="V37" s="14"/>
      <c r="W37" s="14"/>
      <c r="X37" s="17"/>
    </row>
    <row r="38">
      <c r="A38" s="18" t="s">
        <v>39</v>
      </c>
      <c r="B38" s="18" t="s">
        <v>47</v>
      </c>
      <c r="C38" s="8">
        <v>6.0</v>
      </c>
      <c r="D38" s="9">
        <v>6.0</v>
      </c>
      <c r="E38" s="19">
        <v>0.0</v>
      </c>
      <c r="F38" s="11">
        <v>6.0</v>
      </c>
      <c r="G38" s="11">
        <v>6.0</v>
      </c>
      <c r="H38" s="11">
        <v>6.0</v>
      </c>
      <c r="I38" s="11">
        <v>13549.9</v>
      </c>
      <c r="J38" s="11">
        <v>0.0</v>
      </c>
      <c r="K38" s="12">
        <f t="shared" si="5"/>
        <v>0</v>
      </c>
      <c r="L38" s="12">
        <f t="shared" si="6"/>
        <v>0</v>
      </c>
      <c r="M38" s="12">
        <f t="shared" si="7"/>
        <v>0</v>
      </c>
      <c r="N38" s="12">
        <f t="shared" si="8"/>
        <v>0</v>
      </c>
      <c r="O38" s="20"/>
      <c r="P38" s="20"/>
      <c r="R38" s="20"/>
      <c r="U38" s="14"/>
      <c r="V38" s="14"/>
      <c r="W38" s="14"/>
      <c r="X38" s="17"/>
    </row>
    <row r="39">
      <c r="A39" s="18" t="s">
        <v>39</v>
      </c>
      <c r="B39" s="18" t="s">
        <v>48</v>
      </c>
      <c r="C39" s="8">
        <v>6.0</v>
      </c>
      <c r="D39" s="9">
        <v>7.0</v>
      </c>
      <c r="E39" s="19">
        <v>0.0</v>
      </c>
      <c r="F39" s="11">
        <v>6.0</v>
      </c>
      <c r="G39" s="11">
        <v>6.0</v>
      </c>
      <c r="H39" s="11">
        <v>7.0</v>
      </c>
      <c r="I39" s="11">
        <v>13623.8</v>
      </c>
      <c r="J39" s="11">
        <v>0.0</v>
      </c>
      <c r="K39" s="12">
        <f t="shared" si="5"/>
        <v>0</v>
      </c>
      <c r="L39" s="12">
        <f t="shared" si="6"/>
        <v>-14.28571429</v>
      </c>
      <c r="M39" s="12">
        <f t="shared" si="7"/>
        <v>-14.28571429</v>
      </c>
      <c r="N39" s="12">
        <f t="shared" si="8"/>
        <v>-14.28571429</v>
      </c>
      <c r="O39" s="20"/>
      <c r="P39" s="20"/>
      <c r="R39" s="20"/>
      <c r="U39" s="14"/>
      <c r="V39" s="14"/>
      <c r="W39" s="14"/>
      <c r="X39" s="17"/>
    </row>
    <row r="40">
      <c r="A40" s="18" t="s">
        <v>39</v>
      </c>
      <c r="B40" s="18" t="s">
        <v>49</v>
      </c>
      <c r="C40" s="8">
        <v>5.0</v>
      </c>
      <c r="D40" s="9">
        <v>5.0</v>
      </c>
      <c r="E40" s="19">
        <v>0.0</v>
      </c>
      <c r="F40" s="11">
        <v>5.0</v>
      </c>
      <c r="G40" s="11">
        <v>5.0</v>
      </c>
      <c r="H40" s="11">
        <v>5.0</v>
      </c>
      <c r="I40" s="11">
        <v>14093.1</v>
      </c>
      <c r="J40" s="11">
        <v>0.0</v>
      </c>
      <c r="K40" s="12">
        <f t="shared" si="5"/>
        <v>0</v>
      </c>
      <c r="L40" s="12">
        <f t="shared" si="6"/>
        <v>0</v>
      </c>
      <c r="M40" s="12">
        <f t="shared" si="7"/>
        <v>0</v>
      </c>
      <c r="N40" s="12">
        <f t="shared" si="8"/>
        <v>0</v>
      </c>
      <c r="O40" s="20"/>
      <c r="P40" s="20"/>
      <c r="R40" s="20"/>
      <c r="U40" s="14"/>
      <c r="V40" s="14"/>
      <c r="W40" s="14"/>
      <c r="X40" s="17"/>
    </row>
    <row r="41">
      <c r="A41" s="18" t="s">
        <v>39</v>
      </c>
      <c r="B41" s="18" t="s">
        <v>50</v>
      </c>
      <c r="C41" s="8">
        <v>6.0</v>
      </c>
      <c r="D41" s="9">
        <v>6.0</v>
      </c>
      <c r="E41" s="19">
        <v>0.0</v>
      </c>
      <c r="F41" s="11">
        <v>6.0</v>
      </c>
      <c r="G41" s="11">
        <v>6.0</v>
      </c>
      <c r="H41" s="11">
        <v>8.0</v>
      </c>
      <c r="I41" s="11">
        <v>14146.7</v>
      </c>
      <c r="J41" s="11">
        <v>0.0</v>
      </c>
      <c r="K41" s="12">
        <f t="shared" si="5"/>
        <v>0</v>
      </c>
      <c r="L41" s="12">
        <f t="shared" si="6"/>
        <v>0</v>
      </c>
      <c r="M41" s="12">
        <f t="shared" si="7"/>
        <v>0</v>
      </c>
      <c r="N41" s="12">
        <f t="shared" si="8"/>
        <v>-25</v>
      </c>
      <c r="O41" s="20"/>
      <c r="P41" s="20"/>
      <c r="R41" s="20"/>
      <c r="U41" s="14"/>
      <c r="V41" s="14"/>
      <c r="W41" s="14"/>
      <c r="X41" s="17"/>
    </row>
    <row r="42">
      <c r="A42" s="18" t="s">
        <v>39</v>
      </c>
      <c r="B42" s="18" t="s">
        <v>51</v>
      </c>
      <c r="C42" s="8">
        <v>5.0</v>
      </c>
      <c r="D42" s="9">
        <v>5.0</v>
      </c>
      <c r="E42" s="19">
        <v>0.0</v>
      </c>
      <c r="F42" s="11">
        <v>5.0</v>
      </c>
      <c r="G42" s="11">
        <v>5.0</v>
      </c>
      <c r="H42" s="11">
        <v>8.0</v>
      </c>
      <c r="I42" s="11">
        <v>14249.9</v>
      </c>
      <c r="J42" s="11">
        <v>0.0</v>
      </c>
      <c r="K42" s="12">
        <f t="shared" si="5"/>
        <v>0</v>
      </c>
      <c r="L42" s="12">
        <f t="shared" si="6"/>
        <v>0</v>
      </c>
      <c r="M42" s="12">
        <f t="shared" si="7"/>
        <v>0</v>
      </c>
      <c r="N42" s="12">
        <f t="shared" si="8"/>
        <v>-37.5</v>
      </c>
      <c r="O42" s="20"/>
      <c r="P42" s="20"/>
      <c r="R42" s="20"/>
      <c r="U42" s="14"/>
      <c r="V42" s="14"/>
      <c r="W42" s="14"/>
      <c r="X42" s="17"/>
    </row>
    <row r="43">
      <c r="A43" s="18" t="s">
        <v>39</v>
      </c>
      <c r="B43" s="18" t="s">
        <v>52</v>
      </c>
      <c r="C43" s="8">
        <v>6.0</v>
      </c>
      <c r="D43" s="9">
        <v>7.0</v>
      </c>
      <c r="E43" s="19">
        <v>0.0</v>
      </c>
      <c r="F43" s="11">
        <v>6.0</v>
      </c>
      <c r="G43" s="11">
        <v>6.0</v>
      </c>
      <c r="H43" s="11">
        <v>7.0</v>
      </c>
      <c r="I43" s="11">
        <v>13888.0</v>
      </c>
      <c r="J43" s="11">
        <v>0.0</v>
      </c>
      <c r="K43" s="12">
        <f t="shared" si="5"/>
        <v>0</v>
      </c>
      <c r="L43" s="12">
        <f t="shared" si="6"/>
        <v>-14.28571429</v>
      </c>
      <c r="M43" s="12">
        <f t="shared" si="7"/>
        <v>-14.28571429</v>
      </c>
      <c r="N43" s="12">
        <f t="shared" si="8"/>
        <v>-14.28571429</v>
      </c>
      <c r="O43" s="20"/>
      <c r="P43" s="20"/>
      <c r="R43" s="20"/>
      <c r="U43" s="14"/>
      <c r="V43" s="14"/>
      <c r="W43" s="14"/>
      <c r="X43" s="17"/>
    </row>
    <row r="44">
      <c r="A44" s="18" t="s">
        <v>39</v>
      </c>
      <c r="B44" s="18" t="s">
        <v>53</v>
      </c>
      <c r="C44" s="8">
        <v>5.0</v>
      </c>
      <c r="D44" s="9">
        <v>5.0</v>
      </c>
      <c r="E44" s="19">
        <v>0.0</v>
      </c>
      <c r="F44" s="11">
        <v>5.0</v>
      </c>
      <c r="G44" s="11">
        <v>5.0</v>
      </c>
      <c r="H44" s="11">
        <v>6.0</v>
      </c>
      <c r="I44" s="11">
        <v>14000.7</v>
      </c>
      <c r="J44" s="11">
        <v>0.0</v>
      </c>
      <c r="K44" s="12">
        <f t="shared" si="5"/>
        <v>0</v>
      </c>
      <c r="L44" s="12">
        <f t="shared" si="6"/>
        <v>0</v>
      </c>
      <c r="M44" s="12">
        <f t="shared" si="7"/>
        <v>0</v>
      </c>
      <c r="N44" s="12">
        <f t="shared" si="8"/>
        <v>-16.66666667</v>
      </c>
      <c r="O44" s="20"/>
      <c r="P44" s="20"/>
      <c r="R44" s="20"/>
      <c r="U44" s="14"/>
      <c r="V44" s="14"/>
      <c r="W44" s="14"/>
      <c r="X44" s="17"/>
    </row>
    <row r="45">
      <c r="A45" s="18" t="s">
        <v>39</v>
      </c>
      <c r="B45" s="18" t="s">
        <v>54</v>
      </c>
      <c r="C45" s="8">
        <v>6.0</v>
      </c>
      <c r="D45" s="9">
        <v>6.0</v>
      </c>
      <c r="E45" s="19">
        <v>0.0</v>
      </c>
      <c r="F45" s="11">
        <v>6.0</v>
      </c>
      <c r="G45" s="11">
        <v>6.0</v>
      </c>
      <c r="H45" s="11">
        <v>7.0</v>
      </c>
      <c r="I45" s="11">
        <v>13458.8</v>
      </c>
      <c r="J45" s="11">
        <v>0.0</v>
      </c>
      <c r="K45" s="12">
        <f t="shared" si="5"/>
        <v>0</v>
      </c>
      <c r="L45" s="12">
        <f t="shared" si="6"/>
        <v>0</v>
      </c>
      <c r="M45" s="12">
        <f t="shared" si="7"/>
        <v>0</v>
      </c>
      <c r="N45" s="12">
        <f t="shared" si="8"/>
        <v>-14.28571429</v>
      </c>
      <c r="O45" s="20"/>
      <c r="P45" s="20"/>
      <c r="R45" s="20"/>
      <c r="U45" s="14"/>
      <c r="V45" s="14"/>
      <c r="W45" s="14"/>
      <c r="X45" s="17"/>
    </row>
    <row r="46">
      <c r="A46" s="18" t="s">
        <v>39</v>
      </c>
      <c r="B46" s="18" t="s">
        <v>55</v>
      </c>
      <c r="C46" s="8">
        <v>7.0</v>
      </c>
      <c r="D46" s="9">
        <v>8.0</v>
      </c>
      <c r="E46" s="19">
        <v>0.0</v>
      </c>
      <c r="F46" s="11">
        <v>7.0</v>
      </c>
      <c r="G46" s="11">
        <v>7.0</v>
      </c>
      <c r="H46" s="11">
        <v>11.0</v>
      </c>
      <c r="I46" s="11">
        <v>15952.1</v>
      </c>
      <c r="J46" s="11">
        <v>0.0</v>
      </c>
      <c r="K46" s="12">
        <f t="shared" si="5"/>
        <v>0</v>
      </c>
      <c r="L46" s="12">
        <f t="shared" si="6"/>
        <v>-12.5</v>
      </c>
      <c r="M46" s="12">
        <f t="shared" si="7"/>
        <v>-12.5</v>
      </c>
      <c r="N46" s="12">
        <f t="shared" si="8"/>
        <v>-36.36363636</v>
      </c>
      <c r="O46" s="20"/>
      <c r="P46" s="20"/>
      <c r="R46" s="20"/>
      <c r="U46" s="14"/>
      <c r="V46" s="14"/>
      <c r="W46" s="14"/>
      <c r="X46" s="17"/>
    </row>
    <row r="47">
      <c r="A47" s="18" t="s">
        <v>39</v>
      </c>
      <c r="B47" s="18" t="s">
        <v>56</v>
      </c>
      <c r="C47" s="8">
        <v>9.0</v>
      </c>
      <c r="D47" s="9">
        <v>10.0</v>
      </c>
      <c r="E47" s="19">
        <v>0.0</v>
      </c>
      <c r="F47" s="11">
        <v>9.0</v>
      </c>
      <c r="G47" s="11">
        <v>9.0</v>
      </c>
      <c r="H47" s="11">
        <v>10.0</v>
      </c>
      <c r="I47" s="11">
        <v>14373.3</v>
      </c>
      <c r="J47" s="11">
        <v>0.0</v>
      </c>
      <c r="K47" s="12">
        <f t="shared" si="5"/>
        <v>0</v>
      </c>
      <c r="L47" s="12">
        <f t="shared" si="6"/>
        <v>-10</v>
      </c>
      <c r="M47" s="12">
        <f t="shared" si="7"/>
        <v>-10</v>
      </c>
      <c r="N47" s="12">
        <f t="shared" si="8"/>
        <v>-10</v>
      </c>
      <c r="O47" s="20"/>
      <c r="P47" s="20"/>
      <c r="R47" s="20"/>
      <c r="U47" s="14"/>
      <c r="V47" s="14"/>
      <c r="W47" s="14"/>
      <c r="X47" s="17"/>
    </row>
    <row r="48">
      <c r="A48" s="18" t="s">
        <v>39</v>
      </c>
      <c r="B48" s="18" t="s">
        <v>57</v>
      </c>
      <c r="C48" s="8">
        <v>11.0</v>
      </c>
      <c r="D48" s="9">
        <v>13.0</v>
      </c>
      <c r="E48" s="19">
        <v>0.0</v>
      </c>
      <c r="F48" s="11">
        <v>11.0</v>
      </c>
      <c r="G48" s="11">
        <v>11.0</v>
      </c>
      <c r="H48" s="11">
        <v>13.0</v>
      </c>
      <c r="I48" s="11">
        <v>14910.2</v>
      </c>
      <c r="J48" s="11">
        <v>0.0</v>
      </c>
      <c r="K48" s="12">
        <f t="shared" si="5"/>
        <v>0</v>
      </c>
      <c r="L48" s="12">
        <f t="shared" si="6"/>
        <v>-15.38461538</v>
      </c>
      <c r="M48" s="12">
        <f t="shared" si="7"/>
        <v>-15.38461538</v>
      </c>
      <c r="N48" s="12">
        <f t="shared" si="8"/>
        <v>-15.38461538</v>
      </c>
      <c r="O48" s="20"/>
      <c r="P48" s="20"/>
      <c r="R48" s="20"/>
      <c r="U48" s="14"/>
      <c r="V48" s="14"/>
      <c r="W48" s="14"/>
      <c r="X48" s="17"/>
    </row>
    <row r="49">
      <c r="A49" s="18" t="s">
        <v>39</v>
      </c>
      <c r="B49" s="18" t="s">
        <v>58</v>
      </c>
      <c r="C49" s="8">
        <v>9.0</v>
      </c>
      <c r="D49" s="9">
        <v>10.0</v>
      </c>
      <c r="E49" s="19">
        <v>0.0</v>
      </c>
      <c r="F49" s="11">
        <v>9.0</v>
      </c>
      <c r="G49" s="11">
        <v>9.0</v>
      </c>
      <c r="H49" s="11">
        <v>13.0</v>
      </c>
      <c r="I49" s="11">
        <v>15238.7</v>
      </c>
      <c r="J49" s="11">
        <v>0.0</v>
      </c>
      <c r="K49" s="12">
        <f t="shared" si="5"/>
        <v>0</v>
      </c>
      <c r="L49" s="12">
        <f t="shared" si="6"/>
        <v>-10</v>
      </c>
      <c r="M49" s="12">
        <f t="shared" si="7"/>
        <v>-10</v>
      </c>
      <c r="N49" s="12">
        <f t="shared" si="8"/>
        <v>-30.76923077</v>
      </c>
      <c r="O49" s="20"/>
      <c r="P49" s="20"/>
      <c r="R49" s="20"/>
      <c r="U49" s="14"/>
      <c r="V49" s="14"/>
      <c r="W49" s="14"/>
      <c r="X49" s="17"/>
    </row>
    <row r="50">
      <c r="A50" s="18" t="s">
        <v>39</v>
      </c>
      <c r="B50" s="18" t="s">
        <v>59</v>
      </c>
      <c r="C50" s="8">
        <v>13.0</v>
      </c>
      <c r="D50" s="9">
        <v>13.0</v>
      </c>
      <c r="E50" s="19">
        <v>0.0</v>
      </c>
      <c r="F50" s="11">
        <v>13.0</v>
      </c>
      <c r="G50" s="11">
        <v>13.0</v>
      </c>
      <c r="H50" s="11">
        <v>18.0</v>
      </c>
      <c r="I50" s="11">
        <v>15603.4</v>
      </c>
      <c r="J50" s="11">
        <v>0.0</v>
      </c>
      <c r="K50" s="12">
        <f t="shared" si="5"/>
        <v>0</v>
      </c>
      <c r="L50" s="12">
        <f t="shared" si="6"/>
        <v>0</v>
      </c>
      <c r="M50" s="12">
        <f t="shared" si="7"/>
        <v>0</v>
      </c>
      <c r="N50" s="12">
        <f t="shared" si="8"/>
        <v>-27.77777778</v>
      </c>
      <c r="O50" s="20"/>
      <c r="P50" s="20"/>
      <c r="R50" s="20"/>
      <c r="U50" s="14"/>
      <c r="V50" s="14"/>
      <c r="W50" s="14"/>
      <c r="X50" s="17"/>
    </row>
    <row r="51">
      <c r="A51" s="18" t="s">
        <v>39</v>
      </c>
      <c r="B51" s="18" t="s">
        <v>60</v>
      </c>
      <c r="C51" s="8">
        <v>11.0</v>
      </c>
      <c r="D51" s="9">
        <v>12.0</v>
      </c>
      <c r="E51" s="19">
        <v>0.0</v>
      </c>
      <c r="F51" s="11">
        <v>11.0</v>
      </c>
      <c r="G51" s="11">
        <v>11.1</v>
      </c>
      <c r="H51" s="11">
        <v>16.0</v>
      </c>
      <c r="I51" s="11">
        <v>14633.3</v>
      </c>
      <c r="J51" s="11">
        <v>0.32</v>
      </c>
      <c r="K51" s="12">
        <f t="shared" si="5"/>
        <v>0</v>
      </c>
      <c r="L51" s="12">
        <f t="shared" si="6"/>
        <v>-8.333333333</v>
      </c>
      <c r="M51" s="12">
        <f t="shared" si="7"/>
        <v>-7.5</v>
      </c>
      <c r="N51" s="12">
        <f t="shared" si="8"/>
        <v>-30.625</v>
      </c>
      <c r="O51" s="20"/>
      <c r="P51" s="20"/>
      <c r="R51" s="20"/>
      <c r="U51" s="14"/>
      <c r="V51" s="14"/>
      <c r="W51" s="14"/>
      <c r="X51" s="17"/>
    </row>
    <row r="52">
      <c r="A52" s="18" t="s">
        <v>39</v>
      </c>
      <c r="B52" s="18" t="s">
        <v>61</v>
      </c>
      <c r="C52" s="8">
        <v>11.0</v>
      </c>
      <c r="D52" s="9">
        <v>12.0</v>
      </c>
      <c r="E52" s="19">
        <v>0.0</v>
      </c>
      <c r="F52" s="11">
        <v>11.0</v>
      </c>
      <c r="G52" s="11">
        <v>11.0</v>
      </c>
      <c r="H52" s="11">
        <v>15.0</v>
      </c>
      <c r="I52" s="11">
        <v>15003.3</v>
      </c>
      <c r="J52" s="11">
        <v>0.0</v>
      </c>
      <c r="K52" s="12">
        <f t="shared" si="5"/>
        <v>0</v>
      </c>
      <c r="L52" s="12">
        <f t="shared" si="6"/>
        <v>-8.333333333</v>
      </c>
      <c r="M52" s="12">
        <f t="shared" si="7"/>
        <v>-8.333333333</v>
      </c>
      <c r="N52" s="12">
        <f t="shared" si="8"/>
        <v>-26.66666667</v>
      </c>
      <c r="O52" s="20"/>
      <c r="P52" s="20"/>
      <c r="R52" s="20"/>
      <c r="U52" s="14"/>
      <c r="V52" s="14"/>
      <c r="W52" s="14"/>
      <c r="X52" s="17"/>
    </row>
    <row r="53">
      <c r="A53" s="18" t="s">
        <v>39</v>
      </c>
      <c r="B53" s="18" t="s">
        <v>62</v>
      </c>
      <c r="C53" s="8">
        <v>12.0</v>
      </c>
      <c r="D53" s="9">
        <v>14.0</v>
      </c>
      <c r="E53" s="19">
        <v>0.0</v>
      </c>
      <c r="F53" s="11">
        <v>12.0</v>
      </c>
      <c r="G53" s="11">
        <v>12.0</v>
      </c>
      <c r="H53" s="11">
        <v>16.0</v>
      </c>
      <c r="I53" s="11">
        <v>17441.7</v>
      </c>
      <c r="J53" s="31">
        <v>0.0</v>
      </c>
      <c r="K53" s="12">
        <f t="shared" si="5"/>
        <v>0</v>
      </c>
      <c r="L53" s="12">
        <f t="shared" si="6"/>
        <v>-14.28571429</v>
      </c>
      <c r="M53" s="12">
        <f t="shared" si="7"/>
        <v>-14.28571429</v>
      </c>
      <c r="N53" s="12">
        <f t="shared" si="8"/>
        <v>-25</v>
      </c>
      <c r="O53" s="20"/>
      <c r="P53" s="20"/>
      <c r="R53" s="20"/>
      <c r="U53" s="14"/>
      <c r="V53" s="14"/>
      <c r="W53" s="14"/>
      <c r="X53" s="17"/>
    </row>
    <row r="54">
      <c r="A54" s="18" t="s">
        <v>39</v>
      </c>
      <c r="B54" s="18" t="s">
        <v>63</v>
      </c>
      <c r="C54" s="8">
        <v>17.0</v>
      </c>
      <c r="D54" s="9">
        <v>21.0</v>
      </c>
      <c r="E54" s="19">
        <v>0.0</v>
      </c>
      <c r="F54" s="11">
        <v>17.0</v>
      </c>
      <c r="G54" s="11">
        <v>17.1</v>
      </c>
      <c r="H54" s="11">
        <v>25.0</v>
      </c>
      <c r="I54" s="11">
        <v>16384.8</v>
      </c>
      <c r="J54" s="11">
        <v>0.32</v>
      </c>
      <c r="K54" s="12">
        <f t="shared" si="5"/>
        <v>0</v>
      </c>
      <c r="L54" s="12">
        <f t="shared" si="6"/>
        <v>-19.04761905</v>
      </c>
      <c r="M54" s="12">
        <f t="shared" si="7"/>
        <v>-18.57142857</v>
      </c>
      <c r="N54" s="12">
        <f t="shared" si="8"/>
        <v>-31.6</v>
      </c>
      <c r="O54" s="25"/>
      <c r="P54" s="25"/>
      <c r="R54" s="25"/>
      <c r="U54" s="26"/>
      <c r="V54" s="17"/>
      <c r="W54" s="17"/>
      <c r="X54" s="17"/>
    </row>
    <row r="55">
      <c r="A55" s="21" t="s">
        <v>38</v>
      </c>
      <c r="B55" s="22"/>
      <c r="C55" s="23"/>
      <c r="D55" s="23"/>
      <c r="E55" s="23"/>
      <c r="F55" s="24"/>
      <c r="G55" s="24"/>
      <c r="H55" s="23"/>
      <c r="I55" s="24"/>
      <c r="J55" s="23"/>
      <c r="K55" s="32">
        <v>0.0</v>
      </c>
      <c r="L55" s="12">
        <f>IFERROR(__xludf.DUMMYFUNCTION("AVERAGE( FILTER( VALUE(L31:L54) , VALUE(L31:L54) &lt;&gt; 0 ) )"),-12.794705294705293)</f>
        <v>-12.79470529</v>
      </c>
      <c r="M55" s="12">
        <f>IFERROR(__xludf.DUMMYFUNCTION("AVERAGE( FILTER( VALUE(M31:M54) , VALUE(M31:M54) &lt;&gt; 0 ) )"),-12.675657675657675)</f>
        <v>-12.67565768</v>
      </c>
      <c r="N55" s="12">
        <f>IFERROR(__xludf.DUMMYFUNCTION("AVERAGE( FILTER( VALUE(N31:N54) , VALUE(N31:N54) &lt;&gt; 0 ) )"),-23.156028173215674)</f>
        <v>-23.15602817</v>
      </c>
      <c r="O55" s="25"/>
      <c r="P55" s="25"/>
      <c r="R55" s="25"/>
      <c r="U55" s="26"/>
      <c r="V55" s="17"/>
      <c r="W55" s="17"/>
      <c r="X55" s="17"/>
    </row>
    <row r="56">
      <c r="A56" s="4"/>
      <c r="B56" s="5"/>
      <c r="C56" s="32"/>
      <c r="D56" s="32"/>
      <c r="E56" s="32"/>
      <c r="F56" s="11"/>
      <c r="G56" s="11"/>
      <c r="H56" s="33"/>
      <c r="I56" s="11"/>
      <c r="J56" s="11"/>
      <c r="K56" s="12"/>
      <c r="L56" s="12"/>
      <c r="M56" s="12"/>
      <c r="N56" s="12"/>
      <c r="O56" s="25"/>
      <c r="P56" s="25"/>
      <c r="R56" s="25"/>
      <c r="U56" s="26"/>
      <c r="V56" s="17"/>
      <c r="W56" s="17"/>
      <c r="X56" s="17"/>
    </row>
    <row r="57">
      <c r="A57" s="4"/>
      <c r="B57" s="5"/>
      <c r="C57" s="32"/>
      <c r="D57" s="32"/>
      <c r="E57" s="32"/>
      <c r="F57" s="11"/>
      <c r="G57" s="11"/>
      <c r="H57" s="33"/>
      <c r="I57" s="11"/>
      <c r="J57" s="11"/>
      <c r="K57" s="12"/>
      <c r="L57" s="12"/>
      <c r="M57" s="12"/>
      <c r="N57" s="12"/>
      <c r="O57" s="25"/>
      <c r="P57" s="25"/>
      <c r="R57" s="25"/>
      <c r="U57" s="26"/>
      <c r="V57" s="17"/>
      <c r="W57" s="17"/>
      <c r="X57" s="17"/>
    </row>
    <row r="58">
      <c r="A58" s="4"/>
      <c r="B58" s="5"/>
      <c r="C58" s="6" t="s">
        <v>0</v>
      </c>
      <c r="D58" s="6" t="s">
        <v>1</v>
      </c>
      <c r="F58" s="6" t="s">
        <v>2</v>
      </c>
      <c r="K58" s="5"/>
      <c r="L58" s="5"/>
      <c r="M58" s="5"/>
      <c r="N58" s="5"/>
      <c r="O58" s="25"/>
      <c r="P58" s="25"/>
      <c r="R58" s="25"/>
      <c r="U58" s="26"/>
      <c r="V58" s="17"/>
      <c r="W58" s="17"/>
      <c r="X58" s="17"/>
    </row>
    <row r="59">
      <c r="A59" s="6" t="s">
        <v>3</v>
      </c>
      <c r="B59" s="6" t="s">
        <v>4</v>
      </c>
      <c r="C59" s="6" t="s">
        <v>5</v>
      </c>
      <c r="D59" s="6" t="s">
        <v>5</v>
      </c>
      <c r="E59" s="6" t="s">
        <v>6</v>
      </c>
      <c r="F59" s="6" t="s">
        <v>7</v>
      </c>
      <c r="G59" s="6" t="s">
        <v>8</v>
      </c>
      <c r="H59" s="6" t="s">
        <v>9</v>
      </c>
      <c r="I59" s="6" t="s">
        <v>6</v>
      </c>
      <c r="J59" s="6" t="s">
        <v>10</v>
      </c>
      <c r="K59" s="6" t="s">
        <v>11</v>
      </c>
      <c r="L59" s="6" t="s">
        <v>12</v>
      </c>
      <c r="M59" s="6" t="s">
        <v>13</v>
      </c>
      <c r="N59" s="6" t="s">
        <v>14</v>
      </c>
      <c r="O59" s="25"/>
      <c r="P59" s="25"/>
      <c r="R59" s="25"/>
      <c r="U59" s="26"/>
      <c r="V59" s="17"/>
      <c r="W59" s="17"/>
      <c r="X59" s="17"/>
    </row>
    <row r="60">
      <c r="A60" s="34" t="s">
        <v>64</v>
      </c>
      <c r="B60" s="7" t="s">
        <v>65</v>
      </c>
      <c r="C60" s="35">
        <v>5.5</v>
      </c>
      <c r="D60" s="35">
        <v>5.8</v>
      </c>
      <c r="E60" s="35">
        <v>0.0</v>
      </c>
      <c r="F60" s="11">
        <v>5.5</v>
      </c>
      <c r="G60" s="11">
        <v>5.5</v>
      </c>
      <c r="H60" s="36">
        <v>5.6</v>
      </c>
      <c r="I60" s="11">
        <v>13092.880000000001</v>
      </c>
      <c r="J60" s="11">
        <v>0.0</v>
      </c>
      <c r="K60" s="12">
        <f t="shared" ref="K60:K89" si="9">(F60 - C60) / C60 * 100</f>
        <v>0</v>
      </c>
      <c r="L60" s="12">
        <f t="shared" ref="L60:L89" si="10">(F60 - D60) / D60 * 100</f>
        <v>-5.172413793</v>
      </c>
      <c r="M60" s="12">
        <f t="shared" ref="M60:M89" si="11">(G60 - D60) / D60 * 100</f>
        <v>-5.172413793</v>
      </c>
      <c r="N60" s="12">
        <f t="shared" ref="N60:N89" si="12">(G60 - H60) / H60 * 100</f>
        <v>-1.785714286</v>
      </c>
      <c r="O60" s="25"/>
      <c r="P60" s="25"/>
      <c r="R60" s="25"/>
      <c r="U60" s="26"/>
      <c r="V60" s="17"/>
      <c r="W60" s="17"/>
      <c r="X60" s="17"/>
    </row>
    <row r="61">
      <c r="A61" s="34" t="s">
        <v>64</v>
      </c>
      <c r="B61" s="7" t="s">
        <v>66</v>
      </c>
      <c r="C61" s="35">
        <v>6.2</v>
      </c>
      <c r="D61" s="35">
        <v>6.8</v>
      </c>
      <c r="E61" s="35">
        <v>0.0</v>
      </c>
      <c r="F61" s="11">
        <v>6.2</v>
      </c>
      <c r="G61" s="11">
        <v>6.2</v>
      </c>
      <c r="H61" s="33">
        <v>7.3</v>
      </c>
      <c r="I61" s="11">
        <v>13262.9</v>
      </c>
      <c r="J61" s="11">
        <v>0.0</v>
      </c>
      <c r="K61" s="12">
        <f t="shared" si="9"/>
        <v>0</v>
      </c>
      <c r="L61" s="12">
        <f t="shared" si="10"/>
        <v>-8.823529412</v>
      </c>
      <c r="M61" s="12">
        <f t="shared" si="11"/>
        <v>-8.823529412</v>
      </c>
      <c r="N61" s="12">
        <f t="shared" si="12"/>
        <v>-15.06849315</v>
      </c>
      <c r="O61" s="25"/>
      <c r="P61" s="25"/>
      <c r="R61" s="25"/>
      <c r="U61" s="26"/>
      <c r="V61" s="17"/>
      <c r="W61" s="17"/>
      <c r="X61" s="17"/>
    </row>
    <row r="62">
      <c r="A62" s="34" t="s">
        <v>64</v>
      </c>
      <c r="B62" s="7" t="s">
        <v>67</v>
      </c>
      <c r="C62" s="35">
        <v>6.1</v>
      </c>
      <c r="D62" s="35">
        <v>6.9</v>
      </c>
      <c r="E62" s="35">
        <v>0.0</v>
      </c>
      <c r="F62" s="11">
        <v>6.1</v>
      </c>
      <c r="G62" s="11">
        <v>6.1</v>
      </c>
      <c r="H62" s="33">
        <v>8.3</v>
      </c>
      <c r="I62" s="11">
        <v>13539.09</v>
      </c>
      <c r="J62" s="11">
        <v>0.0</v>
      </c>
      <c r="K62" s="12">
        <f t="shared" si="9"/>
        <v>0</v>
      </c>
      <c r="L62" s="12">
        <f t="shared" si="10"/>
        <v>-11.5942029</v>
      </c>
      <c r="M62" s="12">
        <f t="shared" si="11"/>
        <v>-11.5942029</v>
      </c>
      <c r="N62" s="12">
        <f t="shared" si="12"/>
        <v>-26.5060241</v>
      </c>
      <c r="O62" s="25"/>
      <c r="P62" s="25"/>
      <c r="R62" s="25"/>
      <c r="U62" s="26"/>
      <c r="V62" s="17"/>
      <c r="W62" s="17"/>
      <c r="X62" s="17"/>
    </row>
    <row r="63">
      <c r="A63" s="34" t="s">
        <v>64</v>
      </c>
      <c r="B63" s="7" t="s">
        <v>68</v>
      </c>
      <c r="C63" s="35">
        <v>7.7</v>
      </c>
      <c r="D63" s="35">
        <v>8.3</v>
      </c>
      <c r="E63" s="35">
        <v>0.0</v>
      </c>
      <c r="F63" s="11">
        <v>7.7</v>
      </c>
      <c r="G63" s="11">
        <v>7.7</v>
      </c>
      <c r="H63" s="33">
        <v>9.2</v>
      </c>
      <c r="I63" s="11">
        <v>13896.48</v>
      </c>
      <c r="J63" s="11">
        <v>0.0</v>
      </c>
      <c r="K63" s="12">
        <f t="shared" si="9"/>
        <v>0</v>
      </c>
      <c r="L63" s="12">
        <f t="shared" si="10"/>
        <v>-7.228915663</v>
      </c>
      <c r="M63" s="12">
        <f t="shared" si="11"/>
        <v>-7.228915663</v>
      </c>
      <c r="N63" s="12">
        <f t="shared" si="12"/>
        <v>-16.30434783</v>
      </c>
      <c r="O63" s="25"/>
      <c r="P63" s="25"/>
      <c r="R63" s="25"/>
      <c r="U63" s="26"/>
      <c r="V63" s="17"/>
      <c r="W63" s="17"/>
      <c r="X63" s="17"/>
    </row>
    <row r="64">
      <c r="A64" s="34" t="s">
        <v>64</v>
      </c>
      <c r="B64" s="37" t="s">
        <v>69</v>
      </c>
      <c r="C64" s="35">
        <v>8.2</v>
      </c>
      <c r="D64" s="35">
        <v>8.6</v>
      </c>
      <c r="E64" s="35">
        <v>0.0</v>
      </c>
      <c r="F64" s="11">
        <v>8.2</v>
      </c>
      <c r="G64" s="11">
        <v>8.2</v>
      </c>
      <c r="H64" s="33">
        <v>9.8</v>
      </c>
      <c r="I64" s="11">
        <v>14249.4</v>
      </c>
      <c r="J64" s="11">
        <v>0.0</v>
      </c>
      <c r="K64" s="12">
        <f t="shared" si="9"/>
        <v>0</v>
      </c>
      <c r="L64" s="12">
        <f t="shared" si="10"/>
        <v>-4.651162791</v>
      </c>
      <c r="M64" s="12">
        <f t="shared" si="11"/>
        <v>-4.651162791</v>
      </c>
      <c r="N64" s="12">
        <f t="shared" si="12"/>
        <v>-16.32653061</v>
      </c>
      <c r="O64" s="25"/>
      <c r="P64" s="25"/>
      <c r="R64" s="25"/>
      <c r="U64" s="26"/>
      <c r="V64" s="17"/>
      <c r="W64" s="17"/>
      <c r="X64" s="17"/>
    </row>
    <row r="65">
      <c r="A65" s="34" t="s">
        <v>64</v>
      </c>
      <c r="B65" s="37" t="s">
        <v>70</v>
      </c>
      <c r="C65" s="35">
        <v>6.6</v>
      </c>
      <c r="D65" s="35">
        <v>6.6</v>
      </c>
      <c r="E65" s="35">
        <v>0.0</v>
      </c>
      <c r="F65" s="11">
        <v>6.6</v>
      </c>
      <c r="G65" s="11">
        <v>6.6</v>
      </c>
      <c r="H65" s="33">
        <v>6.6</v>
      </c>
      <c r="I65" s="11">
        <v>13385.23</v>
      </c>
      <c r="J65" s="11">
        <v>0.0</v>
      </c>
      <c r="K65" s="12">
        <f t="shared" si="9"/>
        <v>0</v>
      </c>
      <c r="L65" s="12">
        <f t="shared" si="10"/>
        <v>0</v>
      </c>
      <c r="M65" s="12">
        <f t="shared" si="11"/>
        <v>0</v>
      </c>
      <c r="N65" s="12">
        <f t="shared" si="12"/>
        <v>0</v>
      </c>
      <c r="O65" s="25"/>
      <c r="P65" s="25"/>
      <c r="R65" s="25"/>
      <c r="U65" s="26"/>
      <c r="V65" s="17"/>
      <c r="W65" s="17"/>
      <c r="X65" s="17"/>
    </row>
    <row r="66">
      <c r="A66" s="34" t="s">
        <v>64</v>
      </c>
      <c r="B66" s="37" t="s">
        <v>71</v>
      </c>
      <c r="C66" s="35">
        <v>7.2</v>
      </c>
      <c r="D66" s="35">
        <v>8.2</v>
      </c>
      <c r="E66" s="35">
        <v>0.0</v>
      </c>
      <c r="F66" s="11">
        <v>7.2</v>
      </c>
      <c r="G66" s="11">
        <v>7.2</v>
      </c>
      <c r="H66" s="33">
        <v>8.6</v>
      </c>
      <c r="I66" s="11">
        <v>13655.86</v>
      </c>
      <c r="J66" s="11">
        <v>0.0</v>
      </c>
      <c r="K66" s="12">
        <f t="shared" si="9"/>
        <v>0</v>
      </c>
      <c r="L66" s="12">
        <f t="shared" si="10"/>
        <v>-12.19512195</v>
      </c>
      <c r="M66" s="12">
        <f t="shared" si="11"/>
        <v>-12.19512195</v>
      </c>
      <c r="N66" s="12">
        <f t="shared" si="12"/>
        <v>-16.27906977</v>
      </c>
      <c r="O66" s="25"/>
      <c r="P66" s="25"/>
      <c r="R66" s="25"/>
      <c r="U66" s="26"/>
      <c r="V66" s="17"/>
      <c r="W66" s="17"/>
      <c r="X66" s="17"/>
    </row>
    <row r="67">
      <c r="A67" s="34" t="s">
        <v>64</v>
      </c>
      <c r="B67" s="37" t="s">
        <v>72</v>
      </c>
      <c r="C67" s="38">
        <v>7.3</v>
      </c>
      <c r="D67" s="38">
        <v>9.0</v>
      </c>
      <c r="E67" s="35">
        <v>0.0</v>
      </c>
      <c r="F67" s="11">
        <v>7.3</v>
      </c>
      <c r="G67" s="11">
        <v>7.3</v>
      </c>
      <c r="H67" s="33">
        <v>9.0</v>
      </c>
      <c r="I67" s="11">
        <v>14174.71</v>
      </c>
      <c r="J67" s="11">
        <v>0.0</v>
      </c>
      <c r="K67" s="12">
        <f t="shared" si="9"/>
        <v>0</v>
      </c>
      <c r="L67" s="12">
        <f t="shared" si="10"/>
        <v>-18.88888889</v>
      </c>
      <c r="M67" s="12">
        <f t="shared" si="11"/>
        <v>-18.88888889</v>
      </c>
      <c r="N67" s="12">
        <f t="shared" si="12"/>
        <v>-18.88888889</v>
      </c>
      <c r="O67" s="25"/>
      <c r="P67" s="25"/>
      <c r="R67" s="25"/>
      <c r="U67" s="26"/>
      <c r="V67" s="17"/>
      <c r="W67" s="17"/>
      <c r="X67" s="17"/>
    </row>
    <row r="68">
      <c r="A68" s="34" t="s">
        <v>64</v>
      </c>
      <c r="B68" s="37" t="s">
        <v>73</v>
      </c>
      <c r="C68" s="38">
        <v>7.2</v>
      </c>
      <c r="D68" s="38">
        <v>8.6</v>
      </c>
      <c r="E68" s="35">
        <v>0.0</v>
      </c>
      <c r="F68" s="11">
        <v>7.2</v>
      </c>
      <c r="G68" s="11">
        <v>7.2</v>
      </c>
      <c r="H68" s="33">
        <v>9.8</v>
      </c>
      <c r="I68" s="11">
        <v>14454.34</v>
      </c>
      <c r="J68" s="11">
        <v>0.0</v>
      </c>
      <c r="K68" s="12">
        <f t="shared" si="9"/>
        <v>0</v>
      </c>
      <c r="L68" s="12">
        <f t="shared" si="10"/>
        <v>-16.27906977</v>
      </c>
      <c r="M68" s="12">
        <f t="shared" si="11"/>
        <v>-16.27906977</v>
      </c>
      <c r="N68" s="12">
        <f t="shared" si="12"/>
        <v>-26.53061224</v>
      </c>
      <c r="O68" s="25"/>
      <c r="P68" s="25"/>
      <c r="R68" s="25"/>
      <c r="U68" s="26"/>
      <c r="V68" s="17"/>
      <c r="W68" s="17"/>
      <c r="X68" s="17"/>
    </row>
    <row r="69">
      <c r="A69" s="34" t="s">
        <v>64</v>
      </c>
      <c r="B69" s="37" t="s">
        <v>74</v>
      </c>
      <c r="C69" s="38">
        <v>7.4</v>
      </c>
      <c r="D69" s="38">
        <v>8.3</v>
      </c>
      <c r="E69" s="35">
        <v>0.0</v>
      </c>
      <c r="F69" s="11">
        <v>7.4</v>
      </c>
      <c r="G69" s="11">
        <v>7.4</v>
      </c>
      <c r="H69" s="33">
        <v>10.4</v>
      </c>
      <c r="I69" s="11">
        <v>14626.77</v>
      </c>
      <c r="J69" s="11">
        <v>0.0</v>
      </c>
      <c r="K69" s="12">
        <f t="shared" si="9"/>
        <v>0</v>
      </c>
      <c r="L69" s="12">
        <f t="shared" si="10"/>
        <v>-10.84337349</v>
      </c>
      <c r="M69" s="12">
        <f t="shared" si="11"/>
        <v>-10.84337349</v>
      </c>
      <c r="N69" s="12">
        <f t="shared" si="12"/>
        <v>-28.84615385</v>
      </c>
      <c r="U69" s="26"/>
      <c r="V69" s="17"/>
      <c r="W69" s="17"/>
      <c r="X69" s="17"/>
    </row>
    <row r="70">
      <c r="A70" s="34" t="s">
        <v>64</v>
      </c>
      <c r="B70" s="37" t="s">
        <v>75</v>
      </c>
      <c r="C70" s="38">
        <v>7.5</v>
      </c>
      <c r="D70" s="38">
        <v>7.7</v>
      </c>
      <c r="E70" s="35">
        <v>0.0</v>
      </c>
      <c r="F70" s="11">
        <v>7.5</v>
      </c>
      <c r="G70" s="11">
        <v>7.5</v>
      </c>
      <c r="H70" s="33">
        <v>7.7</v>
      </c>
      <c r="I70" s="11">
        <v>13955.07</v>
      </c>
      <c r="J70" s="11">
        <v>0.0</v>
      </c>
      <c r="K70" s="12">
        <f t="shared" si="9"/>
        <v>0</v>
      </c>
      <c r="L70" s="12">
        <f t="shared" si="10"/>
        <v>-2.597402597</v>
      </c>
      <c r="M70" s="12">
        <f t="shared" si="11"/>
        <v>-2.597402597</v>
      </c>
      <c r="N70" s="12">
        <f t="shared" si="12"/>
        <v>-2.597402597</v>
      </c>
    </row>
    <row r="71">
      <c r="A71" s="34" t="s">
        <v>64</v>
      </c>
      <c r="B71" s="37" t="s">
        <v>76</v>
      </c>
      <c r="C71" s="38">
        <v>8.5</v>
      </c>
      <c r="D71" s="38">
        <v>8.8</v>
      </c>
      <c r="E71" s="35">
        <v>0.0</v>
      </c>
      <c r="F71" s="11">
        <v>8.5</v>
      </c>
      <c r="G71" s="11">
        <v>8.5</v>
      </c>
      <c r="H71" s="33">
        <v>8.7</v>
      </c>
      <c r="I71" s="11">
        <v>14310.16</v>
      </c>
      <c r="J71" s="11">
        <v>0.0</v>
      </c>
      <c r="K71" s="12">
        <f t="shared" si="9"/>
        <v>0</v>
      </c>
      <c r="L71" s="12">
        <f t="shared" si="10"/>
        <v>-3.409090909</v>
      </c>
      <c r="M71" s="12">
        <f t="shared" si="11"/>
        <v>-3.409090909</v>
      </c>
      <c r="N71" s="12">
        <f t="shared" si="12"/>
        <v>-2.298850575</v>
      </c>
    </row>
    <row r="72">
      <c r="A72" s="34" t="s">
        <v>64</v>
      </c>
      <c r="B72" s="37" t="s">
        <v>77</v>
      </c>
      <c r="C72" s="38">
        <v>8.8</v>
      </c>
      <c r="D72" s="38">
        <v>10.1</v>
      </c>
      <c r="E72" s="35">
        <v>0.0</v>
      </c>
      <c r="F72" s="11">
        <v>8.8</v>
      </c>
      <c r="G72" s="11">
        <v>8.8</v>
      </c>
      <c r="H72" s="29">
        <v>10.0</v>
      </c>
      <c r="I72" s="11">
        <v>14687.24</v>
      </c>
      <c r="J72" s="11">
        <v>0.0</v>
      </c>
      <c r="K72" s="12">
        <f t="shared" si="9"/>
        <v>0</v>
      </c>
      <c r="L72" s="12">
        <f t="shared" si="10"/>
        <v>-12.87128713</v>
      </c>
      <c r="M72" s="12">
        <f t="shared" si="11"/>
        <v>-12.87128713</v>
      </c>
      <c r="N72" s="12">
        <f t="shared" si="12"/>
        <v>-12</v>
      </c>
    </row>
    <row r="73">
      <c r="A73" s="34" t="s">
        <v>64</v>
      </c>
      <c r="B73" s="37" t="s">
        <v>78</v>
      </c>
      <c r="C73" s="38">
        <v>8.5</v>
      </c>
      <c r="D73" s="38">
        <v>9.9</v>
      </c>
      <c r="E73" s="35">
        <v>0.0</v>
      </c>
      <c r="F73" s="11">
        <v>8.5</v>
      </c>
      <c r="G73" s="11">
        <v>8.56</v>
      </c>
      <c r="H73" s="29">
        <v>10.7</v>
      </c>
      <c r="I73" s="11">
        <v>13464.53</v>
      </c>
      <c r="J73" s="11">
        <v>0.05163977794943222</v>
      </c>
      <c r="K73" s="12">
        <f t="shared" si="9"/>
        <v>0</v>
      </c>
      <c r="L73" s="12">
        <f t="shared" si="10"/>
        <v>-14.14141414</v>
      </c>
      <c r="M73" s="12">
        <f t="shared" si="11"/>
        <v>-13.53535354</v>
      </c>
      <c r="N73" s="12">
        <f t="shared" si="12"/>
        <v>-20</v>
      </c>
    </row>
    <row r="74">
      <c r="A74" s="34" t="s">
        <v>64</v>
      </c>
      <c r="B74" s="37" t="s">
        <v>79</v>
      </c>
      <c r="C74" s="38">
        <v>7.9</v>
      </c>
      <c r="D74" s="38">
        <v>9.7</v>
      </c>
      <c r="E74" s="35">
        <v>0.0</v>
      </c>
      <c r="F74" s="11">
        <v>7.9</v>
      </c>
      <c r="G74" s="11">
        <v>7.9</v>
      </c>
      <c r="H74" s="29">
        <v>10.9</v>
      </c>
      <c r="I74" s="11">
        <v>13571.32</v>
      </c>
      <c r="J74" s="11">
        <v>0.0</v>
      </c>
      <c r="K74" s="12">
        <f t="shared" si="9"/>
        <v>0</v>
      </c>
      <c r="L74" s="12">
        <f t="shared" si="10"/>
        <v>-18.55670103</v>
      </c>
      <c r="M74" s="12">
        <f t="shared" si="11"/>
        <v>-18.55670103</v>
      </c>
      <c r="N74" s="12">
        <f t="shared" si="12"/>
        <v>-27.52293578</v>
      </c>
    </row>
    <row r="75">
      <c r="A75" s="34" t="s">
        <v>64</v>
      </c>
      <c r="B75" s="37" t="s">
        <v>80</v>
      </c>
      <c r="C75" s="38">
        <v>8.0</v>
      </c>
      <c r="D75" s="38">
        <v>8.2</v>
      </c>
      <c r="E75" s="35">
        <v>0.0</v>
      </c>
      <c r="F75" s="11">
        <v>8.0</v>
      </c>
      <c r="G75" s="11">
        <v>8.0</v>
      </c>
      <c r="H75" s="29">
        <v>8.0</v>
      </c>
      <c r="I75" s="11">
        <v>14468.97</v>
      </c>
      <c r="J75" s="11">
        <v>0.0</v>
      </c>
      <c r="K75" s="12">
        <f t="shared" si="9"/>
        <v>0</v>
      </c>
      <c r="L75" s="12">
        <f t="shared" si="10"/>
        <v>-2.43902439</v>
      </c>
      <c r="M75" s="12">
        <f t="shared" si="11"/>
        <v>-2.43902439</v>
      </c>
      <c r="N75" s="12">
        <f t="shared" si="12"/>
        <v>0</v>
      </c>
    </row>
    <row r="76">
      <c r="A76" s="34" t="s">
        <v>64</v>
      </c>
      <c r="B76" s="37" t="s">
        <v>81</v>
      </c>
      <c r="C76" s="38">
        <v>9.8</v>
      </c>
      <c r="D76" s="38">
        <v>10.1</v>
      </c>
      <c r="E76" s="35">
        <v>0.0</v>
      </c>
      <c r="F76" s="11">
        <v>9.8</v>
      </c>
      <c r="G76" s="11">
        <v>9.8</v>
      </c>
      <c r="H76" s="29">
        <v>10.5</v>
      </c>
      <c r="I76" s="11">
        <v>13449.48</v>
      </c>
      <c r="J76" s="11">
        <v>0.0</v>
      </c>
      <c r="K76" s="12">
        <f t="shared" si="9"/>
        <v>0</v>
      </c>
      <c r="L76" s="12">
        <f t="shared" si="10"/>
        <v>-2.97029703</v>
      </c>
      <c r="M76" s="12">
        <f t="shared" si="11"/>
        <v>-2.97029703</v>
      </c>
      <c r="N76" s="12">
        <f t="shared" si="12"/>
        <v>-6.666666667</v>
      </c>
    </row>
    <row r="77">
      <c r="A77" s="34" t="s">
        <v>64</v>
      </c>
      <c r="B77" s="37" t="s">
        <v>82</v>
      </c>
      <c r="C77" s="38">
        <v>10.5</v>
      </c>
      <c r="D77" s="38">
        <v>12.3</v>
      </c>
      <c r="E77" s="35">
        <v>0.0</v>
      </c>
      <c r="F77" s="11">
        <v>10.5</v>
      </c>
      <c r="G77" s="11">
        <v>10.5</v>
      </c>
      <c r="H77" s="29">
        <v>11.9</v>
      </c>
      <c r="I77" s="11">
        <v>13558.96</v>
      </c>
      <c r="J77" s="11">
        <v>0.0</v>
      </c>
      <c r="K77" s="12">
        <f t="shared" si="9"/>
        <v>0</v>
      </c>
      <c r="L77" s="12">
        <f t="shared" si="10"/>
        <v>-14.63414634</v>
      </c>
      <c r="M77" s="12">
        <f t="shared" si="11"/>
        <v>-14.63414634</v>
      </c>
      <c r="N77" s="12">
        <f t="shared" si="12"/>
        <v>-11.76470588</v>
      </c>
    </row>
    <row r="78">
      <c r="A78" s="34" t="s">
        <v>64</v>
      </c>
      <c r="B78" s="37" t="s">
        <v>83</v>
      </c>
      <c r="C78" s="38">
        <v>10.3</v>
      </c>
      <c r="D78" s="38">
        <v>11.3</v>
      </c>
      <c r="E78" s="35">
        <v>0.0</v>
      </c>
      <c r="F78" s="11">
        <v>10.4</v>
      </c>
      <c r="G78" s="11">
        <v>10.4</v>
      </c>
      <c r="H78" s="29">
        <v>12.5</v>
      </c>
      <c r="I78" s="11">
        <v>13767.71</v>
      </c>
      <c r="J78" s="11">
        <v>0.0</v>
      </c>
      <c r="K78" s="12">
        <f t="shared" si="9"/>
        <v>0.9708737864</v>
      </c>
      <c r="L78" s="12">
        <f t="shared" si="10"/>
        <v>-7.96460177</v>
      </c>
      <c r="M78" s="12">
        <f t="shared" si="11"/>
        <v>-7.96460177</v>
      </c>
      <c r="N78" s="12">
        <f t="shared" si="12"/>
        <v>-16.8</v>
      </c>
    </row>
    <row r="79">
      <c r="A79" s="34" t="s">
        <v>64</v>
      </c>
      <c r="B79" s="37" t="s">
        <v>84</v>
      </c>
      <c r="C79" s="38">
        <v>10.0</v>
      </c>
      <c r="D79" s="38">
        <v>11.7</v>
      </c>
      <c r="E79" s="35">
        <v>0.0</v>
      </c>
      <c r="F79" s="11">
        <v>10.0</v>
      </c>
      <c r="G79" s="11">
        <v>10.0</v>
      </c>
      <c r="H79" s="29">
        <v>12.2</v>
      </c>
      <c r="I79" s="11">
        <v>14201.39</v>
      </c>
      <c r="J79" s="11">
        <v>0.0</v>
      </c>
      <c r="K79" s="12">
        <f t="shared" si="9"/>
        <v>0</v>
      </c>
      <c r="L79" s="12">
        <f t="shared" si="10"/>
        <v>-14.52991453</v>
      </c>
      <c r="M79" s="12">
        <f t="shared" si="11"/>
        <v>-14.52991453</v>
      </c>
      <c r="N79" s="12">
        <f t="shared" si="12"/>
        <v>-18.03278689</v>
      </c>
    </row>
    <row r="80">
      <c r="A80" s="34" t="s">
        <v>64</v>
      </c>
      <c r="B80" s="39" t="s">
        <v>85</v>
      </c>
      <c r="C80" s="38">
        <v>7.8</v>
      </c>
      <c r="D80" s="38">
        <v>8.1</v>
      </c>
      <c r="E80" s="35">
        <v>0.0</v>
      </c>
      <c r="F80" s="11">
        <v>7.8</v>
      </c>
      <c r="G80" s="11">
        <v>7.8</v>
      </c>
      <c r="H80" s="29">
        <v>7.8</v>
      </c>
      <c r="I80" s="11">
        <v>13547.35</v>
      </c>
      <c r="J80" s="11">
        <v>0.0</v>
      </c>
      <c r="K80" s="12">
        <f t="shared" si="9"/>
        <v>0</v>
      </c>
      <c r="L80" s="12">
        <f t="shared" si="10"/>
        <v>-3.703703704</v>
      </c>
      <c r="M80" s="12">
        <f t="shared" si="11"/>
        <v>-3.703703704</v>
      </c>
      <c r="N80" s="12">
        <f t="shared" si="12"/>
        <v>0</v>
      </c>
    </row>
    <row r="81">
      <c r="A81" s="34" t="s">
        <v>64</v>
      </c>
      <c r="B81" s="39" t="s">
        <v>86</v>
      </c>
      <c r="C81" s="38">
        <v>11.1</v>
      </c>
      <c r="D81" s="38">
        <v>11.2</v>
      </c>
      <c r="E81" s="35">
        <v>0.0</v>
      </c>
      <c r="F81" s="11">
        <v>11.1</v>
      </c>
      <c r="G81" s="11">
        <v>11.1</v>
      </c>
      <c r="H81" s="29">
        <v>11.5</v>
      </c>
      <c r="I81" s="11">
        <v>13754.11</v>
      </c>
      <c r="J81" s="11">
        <v>0.0</v>
      </c>
      <c r="K81" s="12">
        <f t="shared" si="9"/>
        <v>0</v>
      </c>
      <c r="L81" s="12">
        <f t="shared" si="10"/>
        <v>-0.8928571429</v>
      </c>
      <c r="M81" s="12">
        <f t="shared" si="11"/>
        <v>-0.8928571429</v>
      </c>
      <c r="N81" s="12">
        <f t="shared" si="12"/>
        <v>-3.47826087</v>
      </c>
    </row>
    <row r="82">
      <c r="A82" s="34" t="s">
        <v>64</v>
      </c>
      <c r="B82" s="37" t="s">
        <v>87</v>
      </c>
      <c r="C82" s="38">
        <v>12.2</v>
      </c>
      <c r="D82" s="38">
        <v>13.2</v>
      </c>
      <c r="E82" s="35">
        <v>0.0</v>
      </c>
      <c r="F82" s="11">
        <v>12.2</v>
      </c>
      <c r="G82" s="11">
        <v>12.2</v>
      </c>
      <c r="H82" s="33">
        <v>13.3</v>
      </c>
      <c r="I82" s="11">
        <v>14061.56</v>
      </c>
      <c r="J82" s="11">
        <v>0.0</v>
      </c>
      <c r="K82" s="12">
        <f t="shared" si="9"/>
        <v>0</v>
      </c>
      <c r="L82" s="12">
        <f t="shared" si="10"/>
        <v>-7.575757576</v>
      </c>
      <c r="M82" s="12">
        <f t="shared" si="11"/>
        <v>-7.575757576</v>
      </c>
      <c r="N82" s="12">
        <f t="shared" si="12"/>
        <v>-8.270676692</v>
      </c>
    </row>
    <row r="83">
      <c r="A83" s="34" t="s">
        <v>64</v>
      </c>
      <c r="B83" s="37" t="s">
        <v>88</v>
      </c>
      <c r="C83" s="38">
        <v>12.1</v>
      </c>
      <c r="D83" s="38">
        <v>13.0</v>
      </c>
      <c r="E83" s="35">
        <v>0.0</v>
      </c>
      <c r="F83" s="11">
        <v>12.1</v>
      </c>
      <c r="G83" s="11">
        <v>12.1</v>
      </c>
      <c r="H83" s="33">
        <v>14.2</v>
      </c>
      <c r="I83" s="11">
        <v>14485.9</v>
      </c>
      <c r="J83" s="11">
        <v>0.0</v>
      </c>
      <c r="K83" s="12">
        <f t="shared" si="9"/>
        <v>0</v>
      </c>
      <c r="L83" s="12">
        <f t="shared" si="10"/>
        <v>-6.923076923</v>
      </c>
      <c r="M83" s="12">
        <f t="shared" si="11"/>
        <v>-6.923076923</v>
      </c>
      <c r="N83" s="12">
        <f t="shared" si="12"/>
        <v>-14.78873239</v>
      </c>
    </row>
    <row r="84">
      <c r="A84" s="34" t="s">
        <v>64</v>
      </c>
      <c r="B84" s="39" t="s">
        <v>89</v>
      </c>
      <c r="C84" s="38">
        <v>11.2</v>
      </c>
      <c r="D84" s="38">
        <v>12.8</v>
      </c>
      <c r="E84" s="35">
        <v>0.0</v>
      </c>
      <c r="F84" s="37">
        <v>11.2</v>
      </c>
      <c r="G84" s="39">
        <v>11.2</v>
      </c>
      <c r="H84" s="40">
        <v>13.9</v>
      </c>
      <c r="I84" s="39">
        <v>14976.57</v>
      </c>
      <c r="J84" s="39">
        <v>0.0</v>
      </c>
      <c r="K84" s="12">
        <f t="shared" si="9"/>
        <v>0</v>
      </c>
      <c r="L84" s="12">
        <f t="shared" si="10"/>
        <v>-12.5</v>
      </c>
      <c r="M84" s="12">
        <f t="shared" si="11"/>
        <v>-12.5</v>
      </c>
      <c r="N84" s="12">
        <f t="shared" si="12"/>
        <v>-19.42446043</v>
      </c>
    </row>
    <row r="85">
      <c r="A85" s="34" t="s">
        <v>64</v>
      </c>
      <c r="B85" s="39" t="s">
        <v>90</v>
      </c>
      <c r="C85" s="38">
        <v>8.4</v>
      </c>
      <c r="D85" s="38">
        <v>8.4</v>
      </c>
      <c r="E85" s="35">
        <v>0.0</v>
      </c>
      <c r="F85" s="37">
        <v>8.4</v>
      </c>
      <c r="G85" s="39">
        <v>8.4</v>
      </c>
      <c r="H85" s="40">
        <v>8.4</v>
      </c>
      <c r="I85" s="39">
        <v>14775.9</v>
      </c>
      <c r="J85" s="39">
        <v>0.0</v>
      </c>
      <c r="K85" s="12">
        <f t="shared" si="9"/>
        <v>0</v>
      </c>
      <c r="L85" s="12">
        <f t="shared" si="10"/>
        <v>0</v>
      </c>
      <c r="M85" s="12">
        <f t="shared" si="11"/>
        <v>0</v>
      </c>
      <c r="N85" s="12">
        <f t="shared" si="12"/>
        <v>0</v>
      </c>
    </row>
    <row r="86">
      <c r="A86" s="34" t="s">
        <v>64</v>
      </c>
      <c r="B86" s="39" t="s">
        <v>91</v>
      </c>
      <c r="C86" s="38">
        <v>13.0</v>
      </c>
      <c r="D86" s="38">
        <v>13.4</v>
      </c>
      <c r="E86" s="35">
        <v>0.0</v>
      </c>
      <c r="F86" s="37">
        <v>13.0</v>
      </c>
      <c r="G86" s="39">
        <v>13.0</v>
      </c>
      <c r="H86" s="40">
        <v>13.6</v>
      </c>
      <c r="I86" s="39">
        <v>15201.74</v>
      </c>
      <c r="J86" s="39">
        <v>0.0</v>
      </c>
      <c r="K86" s="12">
        <f t="shared" si="9"/>
        <v>0</v>
      </c>
      <c r="L86" s="12">
        <f t="shared" si="10"/>
        <v>-2.985074627</v>
      </c>
      <c r="M86" s="12">
        <f t="shared" si="11"/>
        <v>-2.985074627</v>
      </c>
      <c r="N86" s="12">
        <f t="shared" si="12"/>
        <v>-4.411764706</v>
      </c>
    </row>
    <row r="87">
      <c r="A87" s="34" t="s">
        <v>64</v>
      </c>
      <c r="B87" s="39" t="s">
        <v>92</v>
      </c>
      <c r="C87" s="38">
        <v>14.5</v>
      </c>
      <c r="D87" s="38">
        <v>15.6</v>
      </c>
      <c r="E87" s="35">
        <v>0.0</v>
      </c>
      <c r="F87" s="37">
        <v>14.5</v>
      </c>
      <c r="G87" s="39">
        <v>14.5</v>
      </c>
      <c r="H87" s="40">
        <v>15.3</v>
      </c>
      <c r="I87" s="39">
        <v>15528.76</v>
      </c>
      <c r="J87" s="39">
        <v>0.0</v>
      </c>
      <c r="K87" s="12">
        <f t="shared" si="9"/>
        <v>0</v>
      </c>
      <c r="L87" s="12">
        <f t="shared" si="10"/>
        <v>-7.051282051</v>
      </c>
      <c r="M87" s="12">
        <f t="shared" si="11"/>
        <v>-7.051282051</v>
      </c>
      <c r="N87" s="12">
        <f t="shared" si="12"/>
        <v>-5.22875817</v>
      </c>
    </row>
    <row r="88">
      <c r="A88" s="34" t="s">
        <v>64</v>
      </c>
      <c r="B88" s="39" t="s">
        <v>93</v>
      </c>
      <c r="C88" s="38">
        <v>14.9</v>
      </c>
      <c r="D88" s="38">
        <v>16.4</v>
      </c>
      <c r="E88" s="35">
        <v>0.0</v>
      </c>
      <c r="F88" s="37">
        <v>14.9</v>
      </c>
      <c r="G88" s="39">
        <v>14.9</v>
      </c>
      <c r="H88" s="40">
        <v>16.6</v>
      </c>
      <c r="I88" s="39">
        <v>15266.81</v>
      </c>
      <c r="J88" s="39">
        <v>0.0</v>
      </c>
      <c r="K88" s="12">
        <f t="shared" si="9"/>
        <v>0</v>
      </c>
      <c r="L88" s="12">
        <f t="shared" si="10"/>
        <v>-9.146341463</v>
      </c>
      <c r="M88" s="12">
        <f t="shared" si="11"/>
        <v>-9.146341463</v>
      </c>
      <c r="N88" s="12">
        <f t="shared" si="12"/>
        <v>-10.24096386</v>
      </c>
    </row>
    <row r="89">
      <c r="A89" s="34" t="s">
        <v>64</v>
      </c>
      <c r="B89" s="39" t="s">
        <v>94</v>
      </c>
      <c r="C89" s="38">
        <v>14.6</v>
      </c>
      <c r="D89" s="38">
        <v>16.4</v>
      </c>
      <c r="E89" s="35">
        <v>0.0</v>
      </c>
      <c r="F89" s="37">
        <v>14.7</v>
      </c>
      <c r="G89" s="39">
        <v>14.76</v>
      </c>
      <c r="H89" s="40">
        <v>16.8</v>
      </c>
      <c r="I89" s="39">
        <v>14081.11</v>
      </c>
      <c r="J89" s="41">
        <v>0.05163977794943222</v>
      </c>
      <c r="K89" s="12">
        <f t="shared" si="9"/>
        <v>0.6849315068</v>
      </c>
      <c r="L89" s="12">
        <f t="shared" si="10"/>
        <v>-10.36585366</v>
      </c>
      <c r="M89" s="12">
        <f t="shared" si="11"/>
        <v>-10</v>
      </c>
      <c r="N89" s="12">
        <f t="shared" si="12"/>
        <v>-12.14285714</v>
      </c>
    </row>
    <row r="90">
      <c r="A90" s="21" t="s">
        <v>38</v>
      </c>
      <c r="B90" s="22"/>
      <c r="C90" s="23"/>
      <c r="D90" s="23"/>
      <c r="E90" s="23"/>
      <c r="F90" s="24"/>
      <c r="G90" s="24"/>
      <c r="H90" s="23"/>
      <c r="I90" s="24"/>
      <c r="J90" s="23"/>
      <c r="K90" s="12">
        <f>IFERROR(__xludf.DUMMYFUNCTION("AVERAGE( FILTER( VALUE(K60:K89) , VALUE(K60:K89) &lt;&gt; 0 ) )"),0.8279026466285381)</f>
        <v>0.8279026466</v>
      </c>
      <c r="L90" s="12">
        <f>IFERROR(__xludf.DUMMYFUNCTION("AVERAGE( FILTER( VALUE(L60:L89) , VALUE(L60:L89) &lt;&gt; 0 ) )"),-8.961946631163292)</f>
        <v>-8.961946631</v>
      </c>
      <c r="M90" s="12">
        <f>IFERROR(__xludf.DUMMYFUNCTION("AVERAGE( FILTER( VALUE(M60:M89) , VALUE(M60:M89) &lt;&gt; 0 ) )"),-8.927235407427679)</f>
        <v>-8.927235407</v>
      </c>
      <c r="N90" s="12">
        <f>IFERROR(__xludf.DUMMYFUNCTION("AVERAGE( FILTER( VALUE(N60:N89) , VALUE(N60:N89) &lt;&gt; 0 ) )"),-13.930986821773375)</f>
        <v>-13.93098682</v>
      </c>
      <c r="O90" s="25"/>
      <c r="P90" s="25"/>
      <c r="R90" s="25"/>
      <c r="U90" s="26"/>
      <c r="V90" s="17"/>
      <c r="W90" s="17"/>
      <c r="X90" s="17"/>
    </row>
    <row r="91">
      <c r="F91" s="26"/>
      <c r="H91" s="17"/>
    </row>
    <row r="92">
      <c r="F92" s="26"/>
      <c r="H92" s="17"/>
    </row>
    <row r="93">
      <c r="A93" s="4"/>
      <c r="B93" s="5"/>
      <c r="C93" s="6" t="s">
        <v>0</v>
      </c>
      <c r="D93" s="6" t="s">
        <v>1</v>
      </c>
      <c r="F93" s="6" t="s">
        <v>2</v>
      </c>
      <c r="K93" s="5"/>
      <c r="L93" s="5"/>
      <c r="M93" s="5"/>
      <c r="N93" s="5"/>
    </row>
    <row r="94">
      <c r="A94" s="6" t="s">
        <v>3</v>
      </c>
      <c r="B94" s="6" t="s">
        <v>4</v>
      </c>
      <c r="C94" s="6" t="s">
        <v>5</v>
      </c>
      <c r="D94" s="6" t="s">
        <v>5</v>
      </c>
      <c r="E94" s="6" t="s">
        <v>6</v>
      </c>
      <c r="F94" s="6" t="s">
        <v>7</v>
      </c>
      <c r="G94" s="6" t="s">
        <v>8</v>
      </c>
      <c r="H94" s="6" t="s">
        <v>9</v>
      </c>
      <c r="I94" s="6" t="s">
        <v>6</v>
      </c>
      <c r="J94" s="6" t="s">
        <v>10</v>
      </c>
      <c r="K94" s="6" t="s">
        <v>11</v>
      </c>
      <c r="L94" s="6" t="s">
        <v>12</v>
      </c>
      <c r="M94" s="6" t="s">
        <v>13</v>
      </c>
      <c r="N94" s="6" t="s">
        <v>14</v>
      </c>
    </row>
    <row r="95">
      <c r="A95" s="34" t="s">
        <v>95</v>
      </c>
      <c r="B95" s="34" t="s">
        <v>96</v>
      </c>
      <c r="C95" s="35">
        <v>8.6</v>
      </c>
      <c r="D95" s="35">
        <v>9.0</v>
      </c>
      <c r="E95" s="35">
        <v>0.0</v>
      </c>
      <c r="F95" s="11">
        <v>8.6</v>
      </c>
      <c r="G95" s="11">
        <v>8.6</v>
      </c>
      <c r="H95" s="36">
        <v>10.8</v>
      </c>
      <c r="I95" s="11">
        <v>13849.66</v>
      </c>
      <c r="J95" s="41">
        <v>0.0</v>
      </c>
      <c r="K95" s="12">
        <f t="shared" ref="K95:K134" si="13">(F95 - C95) / C95 * 100</f>
        <v>0</v>
      </c>
      <c r="L95" s="12">
        <f t="shared" ref="L95:L134" si="14">(F95 - D95) / D95 * 100</f>
        <v>-4.444444444</v>
      </c>
      <c r="M95" s="12">
        <f t="shared" ref="M95:M134" si="15">(G95 - D95) / D95 * 100</f>
        <v>-4.444444444</v>
      </c>
      <c r="N95" s="12">
        <f t="shared" ref="N95:N134" si="16">(G95 - H95) / H95 * 100</f>
        <v>-20.37037037</v>
      </c>
    </row>
    <row r="96">
      <c r="A96" s="34" t="s">
        <v>95</v>
      </c>
      <c r="B96" s="34" t="s">
        <v>97</v>
      </c>
      <c r="C96" s="35">
        <v>16.0</v>
      </c>
      <c r="D96" s="35">
        <v>17.0</v>
      </c>
      <c r="E96" s="35">
        <v>0.0</v>
      </c>
      <c r="F96" s="11">
        <v>16.0</v>
      </c>
      <c r="G96" s="11">
        <v>16.0</v>
      </c>
      <c r="H96" s="33">
        <v>17.4</v>
      </c>
      <c r="I96" s="11">
        <v>14476.82</v>
      </c>
      <c r="J96" s="41">
        <v>0.0</v>
      </c>
      <c r="K96" s="12">
        <f t="shared" si="13"/>
        <v>0</v>
      </c>
      <c r="L96" s="12">
        <f t="shared" si="14"/>
        <v>-5.882352941</v>
      </c>
      <c r="M96" s="12">
        <f t="shared" si="15"/>
        <v>-5.882352941</v>
      </c>
      <c r="N96" s="12">
        <f t="shared" si="16"/>
        <v>-8.045977011</v>
      </c>
    </row>
    <row r="97">
      <c r="A97" s="34" t="s">
        <v>95</v>
      </c>
      <c r="B97" s="34" t="s">
        <v>98</v>
      </c>
      <c r="C97" s="35">
        <v>21.2</v>
      </c>
      <c r="D97" s="35">
        <v>22.2</v>
      </c>
      <c r="E97" s="35">
        <v>0.0</v>
      </c>
      <c r="F97" s="11">
        <v>21.2</v>
      </c>
      <c r="G97" s="11">
        <v>21.2</v>
      </c>
      <c r="H97" s="33">
        <v>21.8</v>
      </c>
      <c r="I97" s="11">
        <v>15392.140000000001</v>
      </c>
      <c r="J97" s="41">
        <v>0.0</v>
      </c>
      <c r="K97" s="12">
        <f t="shared" si="13"/>
        <v>0</v>
      </c>
      <c r="L97" s="12">
        <f t="shared" si="14"/>
        <v>-4.504504505</v>
      </c>
      <c r="M97" s="12">
        <f t="shared" si="15"/>
        <v>-4.504504505</v>
      </c>
      <c r="N97" s="12">
        <f t="shared" si="16"/>
        <v>-2.752293578</v>
      </c>
    </row>
    <row r="98">
      <c r="A98" s="34" t="s">
        <v>95</v>
      </c>
      <c r="B98" s="34" t="s">
        <v>99</v>
      </c>
      <c r="C98" s="35">
        <v>25.2</v>
      </c>
      <c r="D98" s="35">
        <v>25.4</v>
      </c>
      <c r="E98" s="35">
        <v>0.0</v>
      </c>
      <c r="F98" s="11">
        <v>25.2</v>
      </c>
      <c r="G98" s="11">
        <v>25.2</v>
      </c>
      <c r="H98" s="33">
        <v>25.4</v>
      </c>
      <c r="I98" s="11">
        <v>16089.1</v>
      </c>
      <c r="J98" s="41">
        <v>0.0</v>
      </c>
      <c r="K98" s="12">
        <f t="shared" si="13"/>
        <v>0</v>
      </c>
      <c r="L98" s="12">
        <f t="shared" si="14"/>
        <v>-0.7874015748</v>
      </c>
      <c r="M98" s="12">
        <f t="shared" si="15"/>
        <v>-0.7874015748</v>
      </c>
      <c r="N98" s="12">
        <f t="shared" si="16"/>
        <v>-0.7874015748</v>
      </c>
    </row>
    <row r="99">
      <c r="A99" s="34" t="s">
        <v>95</v>
      </c>
      <c r="B99" s="40" t="s">
        <v>100</v>
      </c>
      <c r="C99" s="35">
        <v>27.0</v>
      </c>
      <c r="D99" s="35">
        <v>27.0</v>
      </c>
      <c r="E99" s="35">
        <v>0.0</v>
      </c>
      <c r="F99" s="11">
        <v>27.0</v>
      </c>
      <c r="G99" s="11">
        <v>27.0</v>
      </c>
      <c r="H99" s="33">
        <v>27.0</v>
      </c>
      <c r="I99" s="11">
        <v>15430.52</v>
      </c>
      <c r="J99" s="41">
        <v>0.0</v>
      </c>
      <c r="K99" s="12">
        <f t="shared" si="13"/>
        <v>0</v>
      </c>
      <c r="L99" s="12">
        <f t="shared" si="14"/>
        <v>0</v>
      </c>
      <c r="M99" s="12">
        <f t="shared" si="15"/>
        <v>0</v>
      </c>
      <c r="N99" s="12">
        <f t="shared" si="16"/>
        <v>0</v>
      </c>
    </row>
    <row r="100">
      <c r="A100" s="34" t="s">
        <v>95</v>
      </c>
      <c r="B100" s="40" t="s">
        <v>101</v>
      </c>
      <c r="C100" s="35">
        <v>11.0</v>
      </c>
      <c r="D100" s="35">
        <v>13.0</v>
      </c>
      <c r="E100" s="35">
        <v>0.0</v>
      </c>
      <c r="F100" s="11">
        <v>11.0</v>
      </c>
      <c r="G100" s="11">
        <v>11.0</v>
      </c>
      <c r="H100" s="33">
        <v>15.0</v>
      </c>
      <c r="I100" s="11">
        <v>14648.66</v>
      </c>
      <c r="J100" s="41">
        <v>0.0</v>
      </c>
      <c r="K100" s="12">
        <f t="shared" si="13"/>
        <v>0</v>
      </c>
      <c r="L100" s="12">
        <f t="shared" si="14"/>
        <v>-15.38461538</v>
      </c>
      <c r="M100" s="12">
        <f t="shared" si="15"/>
        <v>-15.38461538</v>
      </c>
      <c r="N100" s="12">
        <f t="shared" si="16"/>
        <v>-26.66666667</v>
      </c>
    </row>
    <row r="101">
      <c r="A101" s="34" t="s">
        <v>95</v>
      </c>
      <c r="B101" s="40" t="s">
        <v>102</v>
      </c>
      <c r="C101" s="35">
        <v>20.2</v>
      </c>
      <c r="D101" s="35">
        <v>21.4</v>
      </c>
      <c r="E101" s="35">
        <v>0.0</v>
      </c>
      <c r="F101" s="11">
        <v>20.2</v>
      </c>
      <c r="G101" s="11">
        <v>20.2</v>
      </c>
      <c r="H101" s="33">
        <v>21.2</v>
      </c>
      <c r="I101" s="11">
        <v>14302.72</v>
      </c>
      <c r="J101" s="41">
        <v>0.0</v>
      </c>
      <c r="K101" s="12">
        <f t="shared" si="13"/>
        <v>0</v>
      </c>
      <c r="L101" s="12">
        <f t="shared" si="14"/>
        <v>-5.607476636</v>
      </c>
      <c r="M101" s="12">
        <f t="shared" si="15"/>
        <v>-5.607476636</v>
      </c>
      <c r="N101" s="12">
        <f t="shared" si="16"/>
        <v>-4.716981132</v>
      </c>
    </row>
    <row r="102">
      <c r="A102" s="34" t="s">
        <v>95</v>
      </c>
      <c r="B102" s="40" t="s">
        <v>103</v>
      </c>
      <c r="C102" s="38">
        <v>28.2</v>
      </c>
      <c r="D102" s="38">
        <v>29.0</v>
      </c>
      <c r="E102" s="35">
        <v>0.0</v>
      </c>
      <c r="F102" s="11">
        <v>28.2</v>
      </c>
      <c r="G102" s="11">
        <v>28.22</v>
      </c>
      <c r="H102" s="33">
        <v>28.8</v>
      </c>
      <c r="I102" s="11">
        <v>15807.640000000001</v>
      </c>
      <c r="J102" s="41">
        <v>0.06324555320336758</v>
      </c>
      <c r="K102" s="12">
        <f t="shared" si="13"/>
        <v>0</v>
      </c>
      <c r="L102" s="12">
        <f t="shared" si="14"/>
        <v>-2.75862069</v>
      </c>
      <c r="M102" s="12">
        <f t="shared" si="15"/>
        <v>-2.689655172</v>
      </c>
      <c r="N102" s="12">
        <f t="shared" si="16"/>
        <v>-2.013888889</v>
      </c>
    </row>
    <row r="103">
      <c r="A103" s="34" t="s">
        <v>95</v>
      </c>
      <c r="B103" s="40" t="s">
        <v>104</v>
      </c>
      <c r="C103" s="38">
        <v>32.6</v>
      </c>
      <c r="D103" s="38">
        <v>33.6</v>
      </c>
      <c r="E103" s="35">
        <v>0.0</v>
      </c>
      <c r="F103" s="11">
        <v>32.6</v>
      </c>
      <c r="G103" s="11">
        <v>32.6</v>
      </c>
      <c r="H103" s="33">
        <v>33.4</v>
      </c>
      <c r="I103" s="11">
        <v>17412.899999999998</v>
      </c>
      <c r="J103" s="41">
        <v>0.0</v>
      </c>
      <c r="K103" s="12">
        <f t="shared" si="13"/>
        <v>0</v>
      </c>
      <c r="L103" s="12">
        <f t="shared" si="14"/>
        <v>-2.976190476</v>
      </c>
      <c r="M103" s="12">
        <f t="shared" si="15"/>
        <v>-2.976190476</v>
      </c>
      <c r="N103" s="12">
        <f t="shared" si="16"/>
        <v>-2.395209581</v>
      </c>
    </row>
    <row r="104">
      <c r="A104" s="34" t="s">
        <v>95</v>
      </c>
      <c r="B104" s="40" t="s">
        <v>105</v>
      </c>
      <c r="C104" s="38">
        <v>35.4</v>
      </c>
      <c r="D104" s="38">
        <v>35.8</v>
      </c>
      <c r="E104" s="35">
        <v>0.0</v>
      </c>
      <c r="F104" s="11">
        <v>35.4</v>
      </c>
      <c r="G104" s="11">
        <v>35.4</v>
      </c>
      <c r="H104" s="33">
        <v>35.6</v>
      </c>
      <c r="I104" s="11">
        <v>17206.100000000002</v>
      </c>
      <c r="J104" s="41">
        <v>0.0</v>
      </c>
      <c r="K104" s="12">
        <f t="shared" si="13"/>
        <v>0</v>
      </c>
      <c r="L104" s="12">
        <f t="shared" si="14"/>
        <v>-1.117318436</v>
      </c>
      <c r="M104" s="12">
        <f t="shared" si="15"/>
        <v>-1.117318436</v>
      </c>
      <c r="N104" s="12">
        <f t="shared" si="16"/>
        <v>-0.5617977528</v>
      </c>
    </row>
    <row r="105">
      <c r="A105" s="34" t="s">
        <v>95</v>
      </c>
      <c r="B105" s="40" t="s">
        <v>106</v>
      </c>
      <c r="C105" s="38">
        <v>13.2</v>
      </c>
      <c r="D105" s="38">
        <v>15.2</v>
      </c>
      <c r="E105" s="35">
        <v>0.0</v>
      </c>
      <c r="F105" s="11">
        <v>13.2</v>
      </c>
      <c r="G105" s="11">
        <v>13.3</v>
      </c>
      <c r="H105" s="33">
        <v>15.2</v>
      </c>
      <c r="I105" s="11">
        <v>15315.84</v>
      </c>
      <c r="J105" s="41">
        <v>0.10540925533894599</v>
      </c>
      <c r="K105" s="12">
        <f t="shared" si="13"/>
        <v>0</v>
      </c>
      <c r="L105" s="12">
        <f t="shared" si="14"/>
        <v>-13.15789474</v>
      </c>
      <c r="M105" s="12">
        <f t="shared" si="15"/>
        <v>-12.5</v>
      </c>
      <c r="N105" s="12">
        <f t="shared" si="16"/>
        <v>-12.5</v>
      </c>
    </row>
    <row r="106">
      <c r="A106" s="34" t="s">
        <v>95</v>
      </c>
      <c r="B106" s="40" t="s">
        <v>107</v>
      </c>
      <c r="C106" s="38">
        <v>23.8</v>
      </c>
      <c r="D106" s="38">
        <v>26.0</v>
      </c>
      <c r="E106" s="35">
        <v>0.0</v>
      </c>
      <c r="F106" s="11">
        <v>23.8</v>
      </c>
      <c r="G106" s="11">
        <v>23.94</v>
      </c>
      <c r="H106" s="33">
        <v>26.0</v>
      </c>
      <c r="I106" s="11">
        <v>16714.52</v>
      </c>
      <c r="J106" s="41">
        <v>0.09660917830792959</v>
      </c>
      <c r="K106" s="12">
        <f t="shared" si="13"/>
        <v>0</v>
      </c>
      <c r="L106" s="12">
        <f t="shared" si="14"/>
        <v>-8.461538462</v>
      </c>
      <c r="M106" s="12">
        <f t="shared" si="15"/>
        <v>-7.923076923</v>
      </c>
      <c r="N106" s="12">
        <f t="shared" si="16"/>
        <v>-7.923076923</v>
      </c>
    </row>
    <row r="107">
      <c r="A107" s="34" t="s">
        <v>95</v>
      </c>
      <c r="B107" s="40" t="s">
        <v>108</v>
      </c>
      <c r="C107" s="38">
        <v>35.2</v>
      </c>
      <c r="D107" s="38">
        <v>35.8</v>
      </c>
      <c r="E107" s="35">
        <v>0.0</v>
      </c>
      <c r="F107" s="11">
        <v>35.2</v>
      </c>
      <c r="G107" s="11">
        <v>35.2</v>
      </c>
      <c r="H107" s="29">
        <v>36.2</v>
      </c>
      <c r="I107" s="11">
        <v>16393.08</v>
      </c>
      <c r="J107" s="41">
        <v>0.0</v>
      </c>
      <c r="K107" s="12">
        <f t="shared" si="13"/>
        <v>0</v>
      </c>
      <c r="L107" s="12">
        <f t="shared" si="14"/>
        <v>-1.675977654</v>
      </c>
      <c r="M107" s="12">
        <f t="shared" si="15"/>
        <v>-1.675977654</v>
      </c>
      <c r="N107" s="12">
        <f t="shared" si="16"/>
        <v>-2.762430939</v>
      </c>
    </row>
    <row r="108">
      <c r="A108" s="34" t="s">
        <v>95</v>
      </c>
      <c r="B108" s="40" t="s">
        <v>109</v>
      </c>
      <c r="C108" s="38">
        <v>40.4</v>
      </c>
      <c r="D108" s="38">
        <v>41.8</v>
      </c>
      <c r="E108" s="35">
        <v>0.0</v>
      </c>
      <c r="F108" s="11">
        <v>40.4</v>
      </c>
      <c r="G108" s="11">
        <v>40.4</v>
      </c>
      <c r="H108" s="29">
        <v>41.6</v>
      </c>
      <c r="I108" s="11">
        <v>18734.94</v>
      </c>
      <c r="J108" s="41">
        <v>0.0</v>
      </c>
      <c r="K108" s="12">
        <f t="shared" si="13"/>
        <v>0</v>
      </c>
      <c r="L108" s="12">
        <f t="shared" si="14"/>
        <v>-3.349282297</v>
      </c>
      <c r="M108" s="12">
        <f t="shared" si="15"/>
        <v>-3.349282297</v>
      </c>
      <c r="N108" s="12">
        <f t="shared" si="16"/>
        <v>-2.884615385</v>
      </c>
    </row>
    <row r="109">
      <c r="A109" s="34" t="s">
        <v>95</v>
      </c>
      <c r="B109" s="40" t="s">
        <v>110</v>
      </c>
      <c r="C109" s="38">
        <v>44.4</v>
      </c>
      <c r="D109" s="38">
        <v>44.8</v>
      </c>
      <c r="E109" s="35">
        <v>0.0</v>
      </c>
      <c r="F109" s="11">
        <v>44.4</v>
      </c>
      <c r="G109" s="11">
        <v>44.4</v>
      </c>
      <c r="H109" s="29">
        <v>45.0</v>
      </c>
      <c r="I109" s="11">
        <v>20008.42</v>
      </c>
      <c r="J109" s="41">
        <v>0.0</v>
      </c>
      <c r="K109" s="12">
        <f t="shared" si="13"/>
        <v>0</v>
      </c>
      <c r="L109" s="12">
        <f t="shared" si="14"/>
        <v>-0.8928571429</v>
      </c>
      <c r="M109" s="12">
        <f t="shared" si="15"/>
        <v>-0.8928571429</v>
      </c>
      <c r="N109" s="12">
        <f t="shared" si="16"/>
        <v>-1.333333333</v>
      </c>
    </row>
    <row r="110">
      <c r="A110" s="34" t="s">
        <v>95</v>
      </c>
      <c r="B110" s="40" t="s">
        <v>111</v>
      </c>
      <c r="C110" s="38">
        <v>21.2</v>
      </c>
      <c r="D110" s="38">
        <v>22.6</v>
      </c>
      <c r="E110" s="35">
        <v>0.0</v>
      </c>
      <c r="F110" s="11">
        <v>21.2</v>
      </c>
      <c r="G110" s="11">
        <v>21.2</v>
      </c>
      <c r="H110" s="29">
        <v>23.0</v>
      </c>
      <c r="I110" s="11">
        <v>16429.58</v>
      </c>
      <c r="J110" s="41">
        <v>0.0</v>
      </c>
      <c r="K110" s="12">
        <f t="shared" si="13"/>
        <v>0</v>
      </c>
      <c r="L110" s="12">
        <f t="shared" si="14"/>
        <v>-6.194690265</v>
      </c>
      <c r="M110" s="12">
        <f t="shared" si="15"/>
        <v>-6.194690265</v>
      </c>
      <c r="N110" s="12">
        <f t="shared" si="16"/>
        <v>-7.826086957</v>
      </c>
    </row>
    <row r="111">
      <c r="A111" s="34" t="s">
        <v>95</v>
      </c>
      <c r="B111" s="40" t="s">
        <v>112</v>
      </c>
      <c r="C111" s="38">
        <v>34.6</v>
      </c>
      <c r="D111" s="38">
        <v>36.2</v>
      </c>
      <c r="E111" s="35">
        <v>0.0</v>
      </c>
      <c r="F111" s="11">
        <v>34.6</v>
      </c>
      <c r="G111" s="11">
        <v>34.6</v>
      </c>
      <c r="H111" s="29">
        <v>36.6</v>
      </c>
      <c r="I111" s="11">
        <v>20141.38</v>
      </c>
      <c r="J111" s="41">
        <v>0.0</v>
      </c>
      <c r="K111" s="12">
        <f t="shared" si="13"/>
        <v>0</v>
      </c>
      <c r="L111" s="12">
        <f t="shared" si="14"/>
        <v>-4.419889503</v>
      </c>
      <c r="M111" s="12">
        <f t="shared" si="15"/>
        <v>-4.419889503</v>
      </c>
      <c r="N111" s="12">
        <f t="shared" si="16"/>
        <v>-5.464480874</v>
      </c>
    </row>
    <row r="112">
      <c r="A112" s="34" t="s">
        <v>95</v>
      </c>
      <c r="B112" s="40" t="s">
        <v>113</v>
      </c>
      <c r="C112" s="38">
        <v>42.4</v>
      </c>
      <c r="D112" s="38">
        <v>43.4</v>
      </c>
      <c r="E112" s="35">
        <v>0.0</v>
      </c>
      <c r="F112" s="11">
        <v>42.4</v>
      </c>
      <c r="G112" s="11">
        <v>42.4</v>
      </c>
      <c r="H112" s="29">
        <v>43.2</v>
      </c>
      <c r="I112" s="11">
        <v>22657.5</v>
      </c>
      <c r="J112" s="41">
        <v>0.0</v>
      </c>
      <c r="K112" s="12">
        <f t="shared" si="13"/>
        <v>0</v>
      </c>
      <c r="L112" s="12">
        <f t="shared" si="14"/>
        <v>-2.304147465</v>
      </c>
      <c r="M112" s="12">
        <f t="shared" si="15"/>
        <v>-2.304147465</v>
      </c>
      <c r="N112" s="12">
        <f t="shared" si="16"/>
        <v>-1.851851852</v>
      </c>
    </row>
    <row r="113">
      <c r="A113" s="34" t="s">
        <v>95</v>
      </c>
      <c r="B113" s="40" t="s">
        <v>114</v>
      </c>
      <c r="C113" s="38">
        <v>46.2</v>
      </c>
      <c r="D113" s="38">
        <v>46.4</v>
      </c>
      <c r="E113" s="35">
        <v>0.0</v>
      </c>
      <c r="F113" s="11">
        <v>46.2</v>
      </c>
      <c r="G113" s="11">
        <v>46.2</v>
      </c>
      <c r="H113" s="29">
        <v>46.4</v>
      </c>
      <c r="I113" s="11">
        <v>25518.22</v>
      </c>
      <c r="J113" s="41">
        <v>0.0</v>
      </c>
      <c r="K113" s="12">
        <f t="shared" si="13"/>
        <v>0</v>
      </c>
      <c r="L113" s="12">
        <f t="shared" si="14"/>
        <v>-0.4310344828</v>
      </c>
      <c r="M113" s="12">
        <f t="shared" si="15"/>
        <v>-0.4310344828</v>
      </c>
      <c r="N113" s="12">
        <f t="shared" si="16"/>
        <v>-0.4310344828</v>
      </c>
    </row>
    <row r="114">
      <c r="A114" s="34" t="s">
        <v>95</v>
      </c>
      <c r="B114" s="40" t="s">
        <v>115</v>
      </c>
      <c r="C114" s="38">
        <v>47.8</v>
      </c>
      <c r="D114" s="38">
        <v>47.8</v>
      </c>
      <c r="E114" s="35">
        <v>0.0</v>
      </c>
      <c r="F114" s="11">
        <v>47.8</v>
      </c>
      <c r="G114" s="11">
        <v>47.8</v>
      </c>
      <c r="H114" s="29">
        <v>47.8</v>
      </c>
      <c r="I114" s="11">
        <v>29176.239999999998</v>
      </c>
      <c r="J114" s="41">
        <v>0.0</v>
      </c>
      <c r="K114" s="12">
        <f t="shared" si="13"/>
        <v>0</v>
      </c>
      <c r="L114" s="12">
        <f t="shared" si="14"/>
        <v>0</v>
      </c>
      <c r="M114" s="12">
        <f t="shared" si="15"/>
        <v>0</v>
      </c>
      <c r="N114" s="12">
        <f t="shared" si="16"/>
        <v>0</v>
      </c>
    </row>
    <row r="115">
      <c r="A115" s="34" t="s">
        <v>95</v>
      </c>
      <c r="B115" s="40" t="s">
        <v>116</v>
      </c>
      <c r="C115" s="38">
        <v>15.8</v>
      </c>
      <c r="D115" s="38">
        <v>19.2</v>
      </c>
      <c r="E115" s="35">
        <v>0.0</v>
      </c>
      <c r="F115" s="11">
        <v>16.0</v>
      </c>
      <c r="G115" s="11">
        <v>16.0</v>
      </c>
      <c r="H115" s="29">
        <v>22.0</v>
      </c>
      <c r="I115" s="11">
        <v>16368.140000000001</v>
      </c>
      <c r="J115" s="41">
        <v>0.0</v>
      </c>
      <c r="K115" s="12">
        <f t="shared" si="13"/>
        <v>1.265822785</v>
      </c>
      <c r="L115" s="12">
        <f t="shared" si="14"/>
        <v>-16.66666667</v>
      </c>
      <c r="M115" s="12">
        <f t="shared" si="15"/>
        <v>-16.66666667</v>
      </c>
      <c r="N115" s="12">
        <f t="shared" si="16"/>
        <v>-27.27272727</v>
      </c>
    </row>
    <row r="116">
      <c r="A116" s="34" t="s">
        <v>95</v>
      </c>
      <c r="B116" s="40" t="s">
        <v>117</v>
      </c>
      <c r="C116" s="38">
        <v>34.2</v>
      </c>
      <c r="D116" s="38">
        <v>37.6</v>
      </c>
      <c r="E116" s="35">
        <v>0.0</v>
      </c>
      <c r="F116" s="11">
        <v>34.2</v>
      </c>
      <c r="G116" s="11">
        <v>34.44</v>
      </c>
      <c r="H116" s="29">
        <v>37.4</v>
      </c>
      <c r="I116" s="11">
        <v>18506.24</v>
      </c>
      <c r="J116" s="41">
        <v>0.21081851067789195</v>
      </c>
      <c r="K116" s="12">
        <f t="shared" si="13"/>
        <v>0</v>
      </c>
      <c r="L116" s="12">
        <f t="shared" si="14"/>
        <v>-9.042553191</v>
      </c>
      <c r="M116" s="12">
        <f t="shared" si="15"/>
        <v>-8.404255319</v>
      </c>
      <c r="N116" s="12">
        <f t="shared" si="16"/>
        <v>-7.914438503</v>
      </c>
    </row>
    <row r="117">
      <c r="A117" s="34" t="s">
        <v>95</v>
      </c>
      <c r="B117" s="40" t="s">
        <v>118</v>
      </c>
      <c r="C117" s="38">
        <v>50.0</v>
      </c>
      <c r="D117" s="38">
        <v>52.4</v>
      </c>
      <c r="E117" s="35">
        <v>0.0</v>
      </c>
      <c r="F117" s="11">
        <v>50.0</v>
      </c>
      <c r="G117" s="11">
        <v>50.0</v>
      </c>
      <c r="H117" s="33">
        <v>53.0</v>
      </c>
      <c r="I117" s="11">
        <v>21163.06</v>
      </c>
      <c r="J117" s="41">
        <v>0.0</v>
      </c>
      <c r="K117" s="12">
        <f t="shared" si="13"/>
        <v>0</v>
      </c>
      <c r="L117" s="12">
        <f t="shared" si="14"/>
        <v>-4.580152672</v>
      </c>
      <c r="M117" s="12">
        <f t="shared" si="15"/>
        <v>-4.580152672</v>
      </c>
      <c r="N117" s="12">
        <f t="shared" si="16"/>
        <v>-5.660377358</v>
      </c>
    </row>
    <row r="118">
      <c r="A118" s="34" t="s">
        <v>95</v>
      </c>
      <c r="B118" s="40" t="s">
        <v>119</v>
      </c>
      <c r="C118" s="38">
        <v>59.4</v>
      </c>
      <c r="D118" s="38">
        <v>60.4</v>
      </c>
      <c r="E118" s="35">
        <v>0.0</v>
      </c>
      <c r="F118" s="11">
        <v>59.4</v>
      </c>
      <c r="G118" s="11">
        <v>59.4</v>
      </c>
      <c r="H118" s="33">
        <v>60.2</v>
      </c>
      <c r="I118" s="11">
        <v>23720.86</v>
      </c>
      <c r="J118" s="41">
        <v>0.0</v>
      </c>
      <c r="K118" s="12">
        <f t="shared" si="13"/>
        <v>0</v>
      </c>
      <c r="L118" s="12">
        <f t="shared" si="14"/>
        <v>-1.655629139</v>
      </c>
      <c r="M118" s="12">
        <f t="shared" si="15"/>
        <v>-1.655629139</v>
      </c>
      <c r="N118" s="12">
        <f t="shared" si="16"/>
        <v>-1.328903654</v>
      </c>
    </row>
    <row r="119">
      <c r="A119" s="34" t="s">
        <v>95</v>
      </c>
      <c r="B119" s="40" t="s">
        <v>120</v>
      </c>
      <c r="C119" s="38">
        <v>64.8</v>
      </c>
      <c r="D119" s="38">
        <v>65.8</v>
      </c>
      <c r="E119" s="35">
        <v>0.0</v>
      </c>
      <c r="F119" s="37">
        <v>64.8</v>
      </c>
      <c r="G119" s="39">
        <v>64.8</v>
      </c>
      <c r="H119" s="40">
        <v>66.0</v>
      </c>
      <c r="I119" s="39">
        <v>25041.38</v>
      </c>
      <c r="J119" s="41">
        <v>0.0</v>
      </c>
      <c r="K119" s="12">
        <f t="shared" si="13"/>
        <v>0</v>
      </c>
      <c r="L119" s="12">
        <f t="shared" si="14"/>
        <v>-1.519756839</v>
      </c>
      <c r="M119" s="12">
        <f t="shared" si="15"/>
        <v>-1.519756839</v>
      </c>
      <c r="N119" s="12">
        <f t="shared" si="16"/>
        <v>-1.818181818</v>
      </c>
    </row>
    <row r="120">
      <c r="A120" s="34" t="s">
        <v>95</v>
      </c>
      <c r="B120" s="40" t="s">
        <v>121</v>
      </c>
      <c r="C120" s="38">
        <v>11.6</v>
      </c>
      <c r="D120" s="38">
        <v>15.4</v>
      </c>
      <c r="E120" s="35">
        <v>0.0</v>
      </c>
      <c r="F120" s="37">
        <v>11.6</v>
      </c>
      <c r="G120" s="39">
        <v>11.6</v>
      </c>
      <c r="H120" s="40">
        <v>20.6</v>
      </c>
      <c r="I120" s="39">
        <v>15404.8</v>
      </c>
      <c r="J120" s="41">
        <v>0.0</v>
      </c>
      <c r="K120" s="12">
        <f t="shared" si="13"/>
        <v>0</v>
      </c>
      <c r="L120" s="12">
        <f t="shared" si="14"/>
        <v>-24.67532468</v>
      </c>
      <c r="M120" s="12">
        <f t="shared" si="15"/>
        <v>-24.67532468</v>
      </c>
      <c r="N120" s="12">
        <f t="shared" si="16"/>
        <v>-43.68932039</v>
      </c>
    </row>
    <row r="121">
      <c r="A121" s="34" t="s">
        <v>95</v>
      </c>
      <c r="B121" s="40" t="s">
        <v>122</v>
      </c>
      <c r="C121" s="38">
        <v>26.4</v>
      </c>
      <c r="D121" s="38">
        <v>32.2</v>
      </c>
      <c r="E121" s="35">
        <v>0.0</v>
      </c>
      <c r="F121" s="37">
        <v>26.4</v>
      </c>
      <c r="G121" s="39">
        <v>26.4</v>
      </c>
      <c r="H121" s="40">
        <v>35.2</v>
      </c>
      <c r="I121" s="39">
        <v>16711.84</v>
      </c>
      <c r="J121" s="41">
        <v>0.0</v>
      </c>
      <c r="K121" s="12">
        <f t="shared" si="13"/>
        <v>0</v>
      </c>
      <c r="L121" s="12">
        <f t="shared" si="14"/>
        <v>-18.01242236</v>
      </c>
      <c r="M121" s="12">
        <f t="shared" si="15"/>
        <v>-18.01242236</v>
      </c>
      <c r="N121" s="12">
        <f t="shared" si="16"/>
        <v>-25</v>
      </c>
    </row>
    <row r="122">
      <c r="A122" s="34" t="s">
        <v>95</v>
      </c>
      <c r="B122" s="40" t="s">
        <v>123</v>
      </c>
      <c r="C122" s="38">
        <v>44.0</v>
      </c>
      <c r="D122" s="38">
        <v>48.6</v>
      </c>
      <c r="E122" s="35">
        <v>0.01</v>
      </c>
      <c r="F122" s="37">
        <v>44.0</v>
      </c>
      <c r="G122" s="39">
        <v>44.02</v>
      </c>
      <c r="H122" s="40">
        <v>50.0</v>
      </c>
      <c r="I122" s="39">
        <v>18750.12</v>
      </c>
      <c r="J122" s="41">
        <v>0.06324555320336758</v>
      </c>
      <c r="K122" s="12">
        <f t="shared" si="13"/>
        <v>0</v>
      </c>
      <c r="L122" s="12">
        <f t="shared" si="14"/>
        <v>-9.465020576</v>
      </c>
      <c r="M122" s="12">
        <f t="shared" si="15"/>
        <v>-9.423868313</v>
      </c>
      <c r="N122" s="12">
        <f t="shared" si="16"/>
        <v>-11.96</v>
      </c>
    </row>
    <row r="123">
      <c r="A123" s="34" t="s">
        <v>95</v>
      </c>
      <c r="B123" s="40" t="s">
        <v>124</v>
      </c>
      <c r="C123" s="38">
        <v>56.2</v>
      </c>
      <c r="D123" s="38">
        <v>61.0</v>
      </c>
      <c r="E123" s="35">
        <v>0.01</v>
      </c>
      <c r="F123" s="37">
        <v>56.2</v>
      </c>
      <c r="G123" s="39">
        <v>56.2</v>
      </c>
      <c r="H123" s="40">
        <v>61.6</v>
      </c>
      <c r="I123" s="39">
        <v>20313.6</v>
      </c>
      <c r="J123" s="41">
        <v>0.0</v>
      </c>
      <c r="K123" s="12">
        <f t="shared" si="13"/>
        <v>0</v>
      </c>
      <c r="L123" s="12">
        <f t="shared" si="14"/>
        <v>-7.868852459</v>
      </c>
      <c r="M123" s="12">
        <f t="shared" si="15"/>
        <v>-7.868852459</v>
      </c>
      <c r="N123" s="12">
        <f t="shared" si="16"/>
        <v>-8.766233766</v>
      </c>
    </row>
    <row r="124">
      <c r="A124" s="34" t="s">
        <v>95</v>
      </c>
      <c r="B124" s="40" t="s">
        <v>125</v>
      </c>
      <c r="C124" s="38">
        <v>67.2</v>
      </c>
      <c r="D124" s="38">
        <v>70.8</v>
      </c>
      <c r="E124" s="35">
        <v>0.01</v>
      </c>
      <c r="F124" s="37">
        <v>67.2</v>
      </c>
      <c r="G124" s="39">
        <v>67.24</v>
      </c>
      <c r="H124" s="40">
        <v>71.2</v>
      </c>
      <c r="I124" s="39">
        <v>20688.34</v>
      </c>
      <c r="J124" s="41">
        <v>0.12649110640673517</v>
      </c>
      <c r="K124" s="12">
        <f t="shared" si="13"/>
        <v>0</v>
      </c>
      <c r="L124" s="12">
        <f t="shared" si="14"/>
        <v>-5.084745763</v>
      </c>
      <c r="M124" s="12">
        <f t="shared" si="15"/>
        <v>-5.028248588</v>
      </c>
      <c r="N124" s="12">
        <f t="shared" si="16"/>
        <v>-5.561797753</v>
      </c>
    </row>
    <row r="125">
      <c r="A125" s="34" t="s">
        <v>95</v>
      </c>
      <c r="B125" s="42" t="s">
        <v>126</v>
      </c>
      <c r="C125" s="38">
        <v>20.2</v>
      </c>
      <c r="D125" s="38">
        <v>24.0</v>
      </c>
      <c r="E125" s="35">
        <v>0.0</v>
      </c>
      <c r="F125" s="37">
        <v>20.2</v>
      </c>
      <c r="G125" s="39">
        <v>20.68</v>
      </c>
      <c r="H125" s="40">
        <v>27.2</v>
      </c>
      <c r="I125" s="39">
        <v>19035.7</v>
      </c>
      <c r="J125" s="41">
        <v>0.24418213578245396</v>
      </c>
      <c r="K125" s="12">
        <f t="shared" si="13"/>
        <v>0</v>
      </c>
      <c r="L125" s="12">
        <f t="shared" si="14"/>
        <v>-15.83333333</v>
      </c>
      <c r="M125" s="12">
        <f t="shared" si="15"/>
        <v>-13.83333333</v>
      </c>
      <c r="N125" s="12">
        <f t="shared" si="16"/>
        <v>-23.97058824</v>
      </c>
    </row>
    <row r="126">
      <c r="A126" s="34" t="s">
        <v>95</v>
      </c>
      <c r="B126" s="42" t="s">
        <v>127</v>
      </c>
      <c r="C126" s="38">
        <v>45.0</v>
      </c>
      <c r="D126" s="38">
        <v>48.8</v>
      </c>
      <c r="E126" s="35">
        <v>0.01</v>
      </c>
      <c r="F126" s="37">
        <v>45.4</v>
      </c>
      <c r="G126" s="39">
        <v>45.44</v>
      </c>
      <c r="H126" s="40">
        <v>51.2</v>
      </c>
      <c r="I126" s="39">
        <v>20692.08</v>
      </c>
      <c r="J126" s="41">
        <v>0.08432740427115679</v>
      </c>
      <c r="K126" s="12">
        <f t="shared" si="13"/>
        <v>0.8888888889</v>
      </c>
      <c r="L126" s="12">
        <f t="shared" si="14"/>
        <v>-6.967213115</v>
      </c>
      <c r="M126" s="12">
        <f t="shared" si="15"/>
        <v>-6.885245902</v>
      </c>
      <c r="N126" s="12">
        <f t="shared" si="16"/>
        <v>-11.25</v>
      </c>
    </row>
    <row r="127">
      <c r="A127" s="34" t="s">
        <v>95</v>
      </c>
      <c r="B127" s="42" t="s">
        <v>128</v>
      </c>
      <c r="C127" s="38">
        <v>64.6</v>
      </c>
      <c r="D127" s="38">
        <v>67.4</v>
      </c>
      <c r="E127" s="35">
        <v>0.01</v>
      </c>
      <c r="F127" s="37">
        <v>64.6</v>
      </c>
      <c r="G127" s="39">
        <v>64.78</v>
      </c>
      <c r="H127" s="40">
        <v>66.2</v>
      </c>
      <c r="I127" s="39">
        <v>25447.48</v>
      </c>
      <c r="J127" s="41">
        <v>0.06324555320336758</v>
      </c>
      <c r="K127" s="12">
        <f t="shared" si="13"/>
        <v>0</v>
      </c>
      <c r="L127" s="12">
        <f t="shared" si="14"/>
        <v>-4.154302671</v>
      </c>
      <c r="M127" s="12">
        <f t="shared" si="15"/>
        <v>-3.887240356</v>
      </c>
      <c r="N127" s="12">
        <f t="shared" si="16"/>
        <v>-2.145015106</v>
      </c>
    </row>
    <row r="128">
      <c r="A128" s="34" t="s">
        <v>95</v>
      </c>
      <c r="B128" s="42" t="s">
        <v>129</v>
      </c>
      <c r="C128" s="38">
        <v>76.6</v>
      </c>
      <c r="D128" s="38">
        <v>78.6</v>
      </c>
      <c r="E128" s="35">
        <v>0.01</v>
      </c>
      <c r="F128" s="37">
        <v>76.6</v>
      </c>
      <c r="G128" s="39">
        <v>76.76</v>
      </c>
      <c r="H128" s="40">
        <v>78.8</v>
      </c>
      <c r="I128" s="39">
        <v>28161.64</v>
      </c>
      <c r="J128" s="41">
        <v>0.20201843364687558</v>
      </c>
      <c r="K128" s="12">
        <f t="shared" si="13"/>
        <v>0</v>
      </c>
      <c r="L128" s="12">
        <f t="shared" si="14"/>
        <v>-2.544529262</v>
      </c>
      <c r="M128" s="12">
        <f t="shared" si="15"/>
        <v>-2.340966921</v>
      </c>
      <c r="N128" s="12">
        <f t="shared" si="16"/>
        <v>-2.588832487</v>
      </c>
    </row>
    <row r="129">
      <c r="A129" s="34" t="s">
        <v>95</v>
      </c>
      <c r="B129" s="42" t="s">
        <v>130</v>
      </c>
      <c r="C129" s="38">
        <v>84.6</v>
      </c>
      <c r="D129" s="38">
        <v>86.0</v>
      </c>
      <c r="E129" s="35">
        <v>0.01</v>
      </c>
      <c r="F129" s="37">
        <v>84.6</v>
      </c>
      <c r="G129" s="39">
        <v>84.64</v>
      </c>
      <c r="H129" s="40">
        <v>85.8</v>
      </c>
      <c r="I129" s="39">
        <v>31282.26</v>
      </c>
      <c r="J129" s="41">
        <v>0.08432740427115679</v>
      </c>
      <c r="K129" s="12">
        <f t="shared" si="13"/>
        <v>0</v>
      </c>
      <c r="L129" s="12">
        <f t="shared" si="14"/>
        <v>-1.627906977</v>
      </c>
      <c r="M129" s="12">
        <f t="shared" si="15"/>
        <v>-1.581395349</v>
      </c>
      <c r="N129" s="12">
        <f t="shared" si="16"/>
        <v>-1.351981352</v>
      </c>
    </row>
    <row r="130">
      <c r="A130" s="34" t="s">
        <v>95</v>
      </c>
      <c r="B130" s="42" t="s">
        <v>131</v>
      </c>
      <c r="C130" s="38">
        <v>22.8</v>
      </c>
      <c r="D130" s="38">
        <v>27.0</v>
      </c>
      <c r="E130" s="35">
        <v>0.01</v>
      </c>
      <c r="F130" s="37">
        <v>23.6</v>
      </c>
      <c r="G130" s="39">
        <v>23.7</v>
      </c>
      <c r="H130" s="40">
        <v>33.6</v>
      </c>
      <c r="I130" s="39">
        <v>20363.16</v>
      </c>
      <c r="J130" s="41">
        <v>0.10540925533894599</v>
      </c>
      <c r="K130" s="12">
        <f t="shared" si="13"/>
        <v>3.50877193</v>
      </c>
      <c r="L130" s="12">
        <f t="shared" si="14"/>
        <v>-12.59259259</v>
      </c>
      <c r="M130" s="12">
        <f t="shared" si="15"/>
        <v>-12.22222222</v>
      </c>
      <c r="N130" s="12">
        <f t="shared" si="16"/>
        <v>-29.46428571</v>
      </c>
    </row>
    <row r="131">
      <c r="A131" s="34" t="s">
        <v>95</v>
      </c>
      <c r="B131" s="42" t="s">
        <v>132</v>
      </c>
      <c r="C131" s="38">
        <v>53.0</v>
      </c>
      <c r="D131" s="38">
        <v>58.2</v>
      </c>
      <c r="E131" s="35">
        <v>0.01</v>
      </c>
      <c r="F131" s="37">
        <v>53.4</v>
      </c>
      <c r="G131" s="39">
        <v>53.58</v>
      </c>
      <c r="H131" s="40">
        <v>60.2</v>
      </c>
      <c r="I131" s="39">
        <v>25098.72</v>
      </c>
      <c r="J131" s="41">
        <v>0.06324555320336758</v>
      </c>
      <c r="K131" s="12">
        <f t="shared" si="13"/>
        <v>0.7547169811</v>
      </c>
      <c r="L131" s="12">
        <f t="shared" si="14"/>
        <v>-8.24742268</v>
      </c>
      <c r="M131" s="12">
        <f t="shared" si="15"/>
        <v>-7.93814433</v>
      </c>
      <c r="N131" s="12">
        <f t="shared" si="16"/>
        <v>-10.99667774</v>
      </c>
    </row>
    <row r="132">
      <c r="A132" s="34" t="s">
        <v>95</v>
      </c>
      <c r="B132" s="42" t="s">
        <v>133</v>
      </c>
      <c r="C132" s="38">
        <v>78.4</v>
      </c>
      <c r="D132" s="38">
        <v>82.2</v>
      </c>
      <c r="E132" s="35">
        <v>0.01</v>
      </c>
      <c r="F132" s="37">
        <v>78.8</v>
      </c>
      <c r="G132" s="39">
        <v>78.96</v>
      </c>
      <c r="H132" s="40">
        <v>84.0</v>
      </c>
      <c r="I132" s="39">
        <v>28787.36</v>
      </c>
      <c r="J132" s="41">
        <v>0.2889943137118339</v>
      </c>
      <c r="K132" s="12">
        <f t="shared" si="13"/>
        <v>0.5102040816</v>
      </c>
      <c r="L132" s="12">
        <f t="shared" si="14"/>
        <v>-4.136253041</v>
      </c>
      <c r="M132" s="12">
        <f t="shared" si="15"/>
        <v>-3.941605839</v>
      </c>
      <c r="N132" s="12">
        <f t="shared" si="16"/>
        <v>-6</v>
      </c>
    </row>
    <row r="133">
      <c r="A133" s="34" t="s">
        <v>95</v>
      </c>
      <c r="B133" s="42" t="s">
        <v>134</v>
      </c>
      <c r="C133" s="38">
        <v>93.6</v>
      </c>
      <c r="D133" s="38">
        <v>96.8</v>
      </c>
      <c r="E133" s="35">
        <v>0.01</v>
      </c>
      <c r="F133" s="37">
        <v>93.8</v>
      </c>
      <c r="G133" s="39">
        <v>94.02</v>
      </c>
      <c r="H133" s="40">
        <v>98.2</v>
      </c>
      <c r="I133" s="39">
        <v>33391.5</v>
      </c>
      <c r="J133" s="41">
        <v>0.2698046650010965</v>
      </c>
      <c r="K133" s="12">
        <f t="shared" si="13"/>
        <v>0.2136752137</v>
      </c>
      <c r="L133" s="12">
        <f t="shared" si="14"/>
        <v>-3.099173554</v>
      </c>
      <c r="M133" s="12">
        <f t="shared" si="15"/>
        <v>-2.871900826</v>
      </c>
      <c r="N133" s="12">
        <f t="shared" si="16"/>
        <v>-4.256619145</v>
      </c>
    </row>
    <row r="134">
      <c r="A134" s="34" t="s">
        <v>95</v>
      </c>
      <c r="B134" s="42" t="s">
        <v>135</v>
      </c>
      <c r="C134" s="38">
        <v>103.2</v>
      </c>
      <c r="D134" s="38">
        <v>105.4</v>
      </c>
      <c r="E134" s="35">
        <v>0.01</v>
      </c>
      <c r="F134" s="37">
        <v>103.2</v>
      </c>
      <c r="G134" s="39">
        <v>103.28</v>
      </c>
      <c r="H134" s="40">
        <v>106.0</v>
      </c>
      <c r="I134" s="39">
        <v>37484.62</v>
      </c>
      <c r="J134" s="41">
        <v>0.16865480854231357</v>
      </c>
      <c r="K134" s="12">
        <f t="shared" si="13"/>
        <v>0</v>
      </c>
      <c r="L134" s="12">
        <f t="shared" si="14"/>
        <v>-2.087286528</v>
      </c>
      <c r="M134" s="12">
        <f t="shared" si="15"/>
        <v>-2.011385199</v>
      </c>
      <c r="N134" s="12">
        <f t="shared" si="16"/>
        <v>-2.566037736</v>
      </c>
    </row>
    <row r="135">
      <c r="A135" s="21" t="s">
        <v>38</v>
      </c>
      <c r="B135" s="22"/>
      <c r="C135" s="23"/>
      <c r="D135" s="23"/>
      <c r="E135" s="23"/>
      <c r="F135" s="24"/>
      <c r="G135" s="24"/>
      <c r="H135" s="23"/>
      <c r="I135" s="24"/>
      <c r="J135" s="23"/>
      <c r="K135" s="12">
        <f>IFERROR(__xludf.DUMMYFUNCTION("AVERAGE( FILTER( VALUE(K95:K134) , VALUE(K95:K134) &lt;&gt; 0 ) )"),1.1903466466605839)</f>
        <v>1.190346647</v>
      </c>
      <c r="L135" s="12">
        <f>IFERROR(__xludf.DUMMYFUNCTION("AVERAGE( FILTER( VALUE(L95:L134) , VALUE(L95:L134) &lt;&gt; 0 ) )"),-6.42661513655496)</f>
        <v>-6.426615137</v>
      </c>
      <c r="M135" s="12">
        <f>IFERROR(__xludf.DUMMYFUNCTION("AVERAGE( FILTER( VALUE(M95:M134) , VALUE(M95:M134) &lt;&gt; 0 ) )"),-6.274566647652115)</f>
        <v>-6.274566648</v>
      </c>
      <c r="N135" s="12">
        <f>IFERROR(__xludf.DUMMYFUNCTION("AVERAGE( FILTER( VALUE(N95:N134) , VALUE(N95:N134) &lt;&gt; 0 ) )"),-9.074987245565964)</f>
        <v>-9.074987246</v>
      </c>
      <c r="O135" s="25"/>
      <c r="P135" s="25"/>
      <c r="R135" s="25"/>
      <c r="U135" s="26"/>
      <c r="V135" s="17"/>
      <c r="W135" s="17"/>
      <c r="X135" s="17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4"/>
      <c r="B138" s="5"/>
      <c r="C138" s="6" t="s">
        <v>136</v>
      </c>
      <c r="D138" s="6" t="s">
        <v>1</v>
      </c>
      <c r="F138" s="6" t="s">
        <v>2</v>
      </c>
      <c r="K138" s="5"/>
      <c r="L138" s="5"/>
      <c r="M138" s="5"/>
      <c r="N138" s="5"/>
    </row>
    <row r="139">
      <c r="A139" s="6" t="s">
        <v>3</v>
      </c>
      <c r="B139" s="6" t="s">
        <v>4</v>
      </c>
      <c r="C139" s="6" t="s">
        <v>5</v>
      </c>
      <c r="D139" s="6" t="s">
        <v>5</v>
      </c>
      <c r="E139" s="6" t="s">
        <v>6</v>
      </c>
      <c r="F139" s="6" t="s">
        <v>7</v>
      </c>
      <c r="G139" s="6" t="s">
        <v>8</v>
      </c>
      <c r="H139" s="6" t="s">
        <v>9</v>
      </c>
      <c r="I139" s="6" t="s">
        <v>6</v>
      </c>
      <c r="J139" s="6" t="s">
        <v>10</v>
      </c>
      <c r="K139" s="6" t="s">
        <v>137</v>
      </c>
      <c r="L139" s="6" t="s">
        <v>12</v>
      </c>
      <c r="M139" s="6" t="s">
        <v>13</v>
      </c>
      <c r="N139" s="6" t="s">
        <v>14</v>
      </c>
    </row>
    <row r="140">
      <c r="A140" s="34" t="s">
        <v>138</v>
      </c>
      <c r="B140" s="34" t="s">
        <v>139</v>
      </c>
      <c r="C140" s="35">
        <v>25.9</v>
      </c>
      <c r="D140" s="35">
        <v>31.9</v>
      </c>
      <c r="E140" s="35">
        <v>0.0</v>
      </c>
      <c r="F140" s="11">
        <v>26.7</v>
      </c>
      <c r="G140" s="11">
        <v>26.94</v>
      </c>
      <c r="H140" s="36">
        <v>39.3</v>
      </c>
      <c r="I140" s="11">
        <v>22574.49</v>
      </c>
      <c r="J140" s="11">
        <v>0.2158945479762376</v>
      </c>
      <c r="K140" s="12">
        <f t="shared" ref="K140:K154" si="17">(F140 - C140) / C140 * 100</f>
        <v>3.088803089</v>
      </c>
      <c r="L140" s="12">
        <f t="shared" ref="L140:L154" si="18">(F140 - D140) / D140 * 100</f>
        <v>-16.30094044</v>
      </c>
      <c r="M140" s="12">
        <f t="shared" ref="M140:M154" si="19">(G140 - D140) / D140 * 100</f>
        <v>-15.54858934</v>
      </c>
      <c r="N140" s="12">
        <f t="shared" ref="N140:N154" si="20">(G140 - H140) / H140 * 100</f>
        <v>-31.45038168</v>
      </c>
    </row>
    <row r="141">
      <c r="A141" s="34" t="s">
        <v>138</v>
      </c>
      <c r="B141" s="34" t="s">
        <v>140</v>
      </c>
      <c r="C141" s="35">
        <v>61.6</v>
      </c>
      <c r="D141" s="35">
        <v>68.8</v>
      </c>
      <c r="E141" s="35">
        <v>0.0</v>
      </c>
      <c r="F141" s="11">
        <v>61.8</v>
      </c>
      <c r="G141" s="11">
        <v>62.05</v>
      </c>
      <c r="H141" s="36">
        <v>69.3</v>
      </c>
      <c r="I141" s="11">
        <v>25611.46</v>
      </c>
      <c r="J141" s="11">
        <v>0.3341425442858585</v>
      </c>
      <c r="K141" s="12">
        <f t="shared" si="17"/>
        <v>0.3246753247</v>
      </c>
      <c r="L141" s="12">
        <f t="shared" si="18"/>
        <v>-10.1744186</v>
      </c>
      <c r="M141" s="12">
        <f t="shared" si="19"/>
        <v>-9.811046512</v>
      </c>
      <c r="N141" s="12">
        <f t="shared" si="20"/>
        <v>-10.46176046</v>
      </c>
    </row>
    <row r="142">
      <c r="A142" s="34" t="s">
        <v>138</v>
      </c>
      <c r="B142" s="34" t="s">
        <v>141</v>
      </c>
      <c r="C142" s="35">
        <v>93.2</v>
      </c>
      <c r="D142" s="35">
        <v>98.6</v>
      </c>
      <c r="E142" s="35">
        <v>0.0</v>
      </c>
      <c r="F142" s="11">
        <v>93.7</v>
      </c>
      <c r="G142" s="11">
        <v>93.98</v>
      </c>
      <c r="H142" s="36">
        <v>98.7</v>
      </c>
      <c r="I142" s="11">
        <v>31583.66</v>
      </c>
      <c r="J142" s="11">
        <v>0.3921338478817063</v>
      </c>
      <c r="K142" s="12">
        <f t="shared" si="17"/>
        <v>0.5364806867</v>
      </c>
      <c r="L142" s="12">
        <f t="shared" si="18"/>
        <v>-4.969574037</v>
      </c>
      <c r="M142" s="12">
        <f t="shared" si="19"/>
        <v>-4.685598377</v>
      </c>
      <c r="N142" s="12">
        <f t="shared" si="20"/>
        <v>-4.782168186</v>
      </c>
    </row>
    <row r="143">
      <c r="A143" s="34" t="s">
        <v>138</v>
      </c>
      <c r="B143" s="34" t="s">
        <v>142</v>
      </c>
      <c r="C143" s="35">
        <v>111.7</v>
      </c>
      <c r="D143" s="35">
        <v>116.1</v>
      </c>
      <c r="E143" s="35">
        <v>0.0</v>
      </c>
      <c r="F143" s="11">
        <v>111.9</v>
      </c>
      <c r="G143" s="11">
        <v>112.32</v>
      </c>
      <c r="H143" s="36">
        <v>115.4</v>
      </c>
      <c r="I143" s="11">
        <v>37044.59</v>
      </c>
      <c r="J143" s="11">
        <v>0.26526398685024316</v>
      </c>
      <c r="K143" s="12">
        <f t="shared" si="17"/>
        <v>0.1790510295</v>
      </c>
      <c r="L143" s="12">
        <f t="shared" si="18"/>
        <v>-3.617571059</v>
      </c>
      <c r="M143" s="12">
        <f t="shared" si="19"/>
        <v>-3.255813953</v>
      </c>
      <c r="N143" s="12">
        <f t="shared" si="20"/>
        <v>-2.66897747</v>
      </c>
    </row>
    <row r="144">
      <c r="A144" s="34" t="s">
        <v>138</v>
      </c>
      <c r="B144" s="34" t="s">
        <v>143</v>
      </c>
      <c r="C144" s="35">
        <v>123.9</v>
      </c>
      <c r="D144" s="35">
        <v>126.6</v>
      </c>
      <c r="E144" s="35">
        <v>0.0</v>
      </c>
      <c r="F144" s="11">
        <v>123.9</v>
      </c>
      <c r="G144" s="11">
        <v>123.96</v>
      </c>
      <c r="H144" s="36">
        <v>127.3</v>
      </c>
      <c r="I144" s="11">
        <v>41730.229999999996</v>
      </c>
      <c r="J144" s="11">
        <v>0.14317291895901618</v>
      </c>
      <c r="K144" s="12">
        <f t="shared" si="17"/>
        <v>0</v>
      </c>
      <c r="L144" s="12">
        <f t="shared" si="18"/>
        <v>-2.132701422</v>
      </c>
      <c r="M144" s="12">
        <f t="shared" si="19"/>
        <v>-2.085308057</v>
      </c>
      <c r="N144" s="12">
        <f t="shared" si="20"/>
        <v>-2.623723488</v>
      </c>
    </row>
    <row r="145">
      <c r="A145" s="34" t="s">
        <v>138</v>
      </c>
      <c r="B145" s="34" t="s">
        <v>144</v>
      </c>
      <c r="C145" s="35">
        <v>30.3</v>
      </c>
      <c r="D145" s="35">
        <v>37.8</v>
      </c>
      <c r="E145" s="35">
        <v>0.0</v>
      </c>
      <c r="F145" s="11">
        <v>31.2</v>
      </c>
      <c r="G145" s="11">
        <v>31.68</v>
      </c>
      <c r="H145" s="36">
        <v>44.5</v>
      </c>
      <c r="I145" s="11">
        <v>23560.75</v>
      </c>
      <c r="J145" s="11">
        <v>0.2958219137318862</v>
      </c>
      <c r="K145" s="12">
        <f t="shared" si="17"/>
        <v>2.97029703</v>
      </c>
      <c r="L145" s="12">
        <f t="shared" si="18"/>
        <v>-17.46031746</v>
      </c>
      <c r="M145" s="12">
        <f t="shared" si="19"/>
        <v>-16.19047619</v>
      </c>
      <c r="N145" s="12">
        <f t="shared" si="20"/>
        <v>-28.80898876</v>
      </c>
    </row>
    <row r="146">
      <c r="A146" s="34" t="s">
        <v>138</v>
      </c>
      <c r="B146" s="34" t="s">
        <v>145</v>
      </c>
      <c r="C146" s="35">
        <v>73.7</v>
      </c>
      <c r="D146" s="35">
        <v>82.3</v>
      </c>
      <c r="E146" s="35">
        <v>0.0</v>
      </c>
      <c r="F146" s="11">
        <v>74.3</v>
      </c>
      <c r="G146" s="11">
        <v>74.64</v>
      </c>
      <c r="H146" s="36">
        <v>83.0</v>
      </c>
      <c r="I146" s="11">
        <v>30382.12</v>
      </c>
      <c r="J146" s="11">
        <v>0.42168303272001584</v>
      </c>
      <c r="K146" s="12">
        <f t="shared" si="17"/>
        <v>0.8141112619</v>
      </c>
      <c r="L146" s="12">
        <f t="shared" si="18"/>
        <v>-9.720534629</v>
      </c>
      <c r="M146" s="12">
        <f t="shared" si="19"/>
        <v>-9.307411908</v>
      </c>
      <c r="N146" s="12">
        <f t="shared" si="20"/>
        <v>-10.07228916</v>
      </c>
    </row>
    <row r="147">
      <c r="A147" s="34" t="s">
        <v>138</v>
      </c>
      <c r="B147" s="34" t="s">
        <v>146</v>
      </c>
      <c r="C147" s="38">
        <v>107.7</v>
      </c>
      <c r="D147" s="38">
        <v>114.7</v>
      </c>
      <c r="E147" s="35">
        <v>0.0</v>
      </c>
      <c r="F147" s="11">
        <v>108.2</v>
      </c>
      <c r="G147" s="11">
        <v>108.38</v>
      </c>
      <c r="H147" s="36">
        <v>115.5</v>
      </c>
      <c r="I147" s="11">
        <v>35780.4</v>
      </c>
      <c r="J147" s="11">
        <v>0.2624582886273242</v>
      </c>
      <c r="K147" s="12">
        <f t="shared" si="17"/>
        <v>0.4642525534</v>
      </c>
      <c r="L147" s="12">
        <f t="shared" si="18"/>
        <v>-5.66695728</v>
      </c>
      <c r="M147" s="12">
        <f t="shared" si="19"/>
        <v>-5.510026155</v>
      </c>
      <c r="N147" s="12">
        <f t="shared" si="20"/>
        <v>-6.164502165</v>
      </c>
    </row>
    <row r="148">
      <c r="A148" s="34" t="s">
        <v>138</v>
      </c>
      <c r="B148" s="34" t="s">
        <v>147</v>
      </c>
      <c r="C148" s="38">
        <v>128.3</v>
      </c>
      <c r="D148" s="38">
        <v>133.6</v>
      </c>
      <c r="E148" s="35">
        <v>0.0</v>
      </c>
      <c r="F148" s="11">
        <v>128.4</v>
      </c>
      <c r="G148" s="11">
        <v>128.97</v>
      </c>
      <c r="H148" s="36">
        <v>133.6</v>
      </c>
      <c r="I148" s="11">
        <v>41606.24</v>
      </c>
      <c r="J148" s="11">
        <v>0.4885537171722299</v>
      </c>
      <c r="K148" s="12">
        <f t="shared" si="17"/>
        <v>0.07794232268</v>
      </c>
      <c r="L148" s="12">
        <f t="shared" si="18"/>
        <v>-3.892215569</v>
      </c>
      <c r="M148" s="12">
        <f t="shared" si="19"/>
        <v>-3.465568862</v>
      </c>
      <c r="N148" s="12">
        <f t="shared" si="20"/>
        <v>-3.465568862</v>
      </c>
    </row>
    <row r="149">
      <c r="A149" s="34" t="s">
        <v>138</v>
      </c>
      <c r="B149" s="34" t="s">
        <v>148</v>
      </c>
      <c r="C149" s="38">
        <v>143.5</v>
      </c>
      <c r="D149" s="38">
        <v>147.6</v>
      </c>
      <c r="E149" s="35">
        <v>0.0</v>
      </c>
      <c r="F149" s="11">
        <v>143.6</v>
      </c>
      <c r="G149" s="11">
        <v>143.84</v>
      </c>
      <c r="H149" s="36">
        <v>147.1</v>
      </c>
      <c r="I149" s="11">
        <v>49321.009999999995</v>
      </c>
      <c r="J149" s="11">
        <v>0.30969802806124824</v>
      </c>
      <c r="K149" s="12">
        <f t="shared" si="17"/>
        <v>0.06968641115</v>
      </c>
      <c r="L149" s="12">
        <f t="shared" si="18"/>
        <v>-2.7100271</v>
      </c>
      <c r="M149" s="12">
        <f t="shared" si="19"/>
        <v>-2.547425474</v>
      </c>
      <c r="N149" s="12">
        <f t="shared" si="20"/>
        <v>-2.21617947</v>
      </c>
    </row>
    <row r="150">
      <c r="A150" s="34" t="s">
        <v>138</v>
      </c>
      <c r="B150" s="34" t="s">
        <v>149</v>
      </c>
      <c r="C150" s="38">
        <v>36.0</v>
      </c>
      <c r="D150" s="38">
        <v>44.7</v>
      </c>
      <c r="E150" s="35">
        <v>0.0</v>
      </c>
      <c r="F150" s="11">
        <v>37.0</v>
      </c>
      <c r="G150" s="11">
        <v>37.42</v>
      </c>
      <c r="H150" s="36">
        <v>50.1</v>
      </c>
      <c r="I150" s="11">
        <v>27742.37</v>
      </c>
      <c r="J150" s="11">
        <v>0.3757492794875348</v>
      </c>
      <c r="K150" s="12">
        <f t="shared" si="17"/>
        <v>2.777777778</v>
      </c>
      <c r="L150" s="12">
        <f t="shared" si="18"/>
        <v>-17.22595078</v>
      </c>
      <c r="M150" s="12">
        <f t="shared" si="19"/>
        <v>-16.28635347</v>
      </c>
      <c r="N150" s="12">
        <f t="shared" si="20"/>
        <v>-25.30938124</v>
      </c>
    </row>
    <row r="151">
      <c r="A151" s="34" t="s">
        <v>138</v>
      </c>
      <c r="B151" s="34" t="s">
        <v>150</v>
      </c>
      <c r="C151" s="38">
        <v>84.3</v>
      </c>
      <c r="D151" s="38">
        <v>91.8</v>
      </c>
      <c r="E151" s="35">
        <v>0.0</v>
      </c>
      <c r="F151" s="11">
        <v>83.5</v>
      </c>
      <c r="G151" s="11">
        <v>83.95</v>
      </c>
      <c r="H151" s="36">
        <v>94.0</v>
      </c>
      <c r="I151" s="11">
        <v>33646.72</v>
      </c>
      <c r="J151" s="11">
        <v>0.3928612952575434</v>
      </c>
      <c r="K151" s="12">
        <f t="shared" si="17"/>
        <v>-0.9489916963</v>
      </c>
      <c r="L151" s="12">
        <f t="shared" si="18"/>
        <v>-9.041394336</v>
      </c>
      <c r="M151" s="12">
        <f t="shared" si="19"/>
        <v>-8.551198257</v>
      </c>
      <c r="N151" s="12">
        <f t="shared" si="20"/>
        <v>-10.69148936</v>
      </c>
    </row>
    <row r="152">
      <c r="A152" s="34" t="s">
        <v>138</v>
      </c>
      <c r="B152" s="34" t="s">
        <v>151</v>
      </c>
      <c r="C152" s="38">
        <v>121.5</v>
      </c>
      <c r="D152" s="38">
        <v>129.0</v>
      </c>
      <c r="E152" s="35">
        <v>0.0</v>
      </c>
      <c r="F152" s="11">
        <v>121.2</v>
      </c>
      <c r="G152" s="11">
        <v>121.65</v>
      </c>
      <c r="H152" s="36">
        <v>128.4</v>
      </c>
      <c r="I152" s="11">
        <v>40497.97</v>
      </c>
      <c r="J152" s="11">
        <v>0.42463058006951615</v>
      </c>
      <c r="K152" s="12">
        <f t="shared" si="17"/>
        <v>-0.2469135802</v>
      </c>
      <c r="L152" s="12">
        <f t="shared" si="18"/>
        <v>-6.046511628</v>
      </c>
      <c r="M152" s="12">
        <f t="shared" si="19"/>
        <v>-5.697674419</v>
      </c>
      <c r="N152" s="12">
        <f t="shared" si="20"/>
        <v>-5.257009346</v>
      </c>
    </row>
    <row r="153">
      <c r="A153" s="34" t="s">
        <v>138</v>
      </c>
      <c r="B153" s="34" t="s">
        <v>152</v>
      </c>
      <c r="C153" s="38">
        <v>147.1</v>
      </c>
      <c r="D153" s="38">
        <v>153.2</v>
      </c>
      <c r="E153" s="35">
        <v>0.0</v>
      </c>
      <c r="F153" s="11">
        <v>147.2</v>
      </c>
      <c r="G153" s="11">
        <v>147.88</v>
      </c>
      <c r="H153" s="36">
        <v>153.4</v>
      </c>
      <c r="I153" s="11">
        <v>48040.52</v>
      </c>
      <c r="J153" s="11">
        <v>0.49144957364764996</v>
      </c>
      <c r="K153" s="12">
        <f t="shared" si="17"/>
        <v>0.06798096533</v>
      </c>
      <c r="L153" s="12">
        <f t="shared" si="18"/>
        <v>-3.916449086</v>
      </c>
      <c r="M153" s="12">
        <f t="shared" si="19"/>
        <v>-3.472584856</v>
      </c>
      <c r="N153" s="12">
        <f t="shared" si="20"/>
        <v>-3.598435463</v>
      </c>
    </row>
    <row r="154">
      <c r="A154" s="34" t="s">
        <v>138</v>
      </c>
      <c r="B154" s="34" t="s">
        <v>153</v>
      </c>
      <c r="C154" s="38">
        <v>162.8</v>
      </c>
      <c r="D154" s="38">
        <v>167.6</v>
      </c>
      <c r="E154" s="35">
        <v>0.0</v>
      </c>
      <c r="F154" s="11">
        <v>163.1</v>
      </c>
      <c r="G154" s="11">
        <v>163.54</v>
      </c>
      <c r="H154" s="36">
        <v>167.2</v>
      </c>
      <c r="I154" s="11">
        <v>55776.16</v>
      </c>
      <c r="J154" s="11">
        <v>0.40882031951769493</v>
      </c>
      <c r="K154" s="12">
        <f t="shared" si="17"/>
        <v>0.1842751843</v>
      </c>
      <c r="L154" s="12">
        <f t="shared" si="18"/>
        <v>-2.6849642</v>
      </c>
      <c r="M154" s="12">
        <f t="shared" si="19"/>
        <v>-2.422434368</v>
      </c>
      <c r="N154" s="12">
        <f t="shared" si="20"/>
        <v>-2.188995215</v>
      </c>
    </row>
    <row r="155">
      <c r="A155" s="21" t="s">
        <v>38</v>
      </c>
      <c r="B155" s="22"/>
      <c r="C155" s="23"/>
      <c r="D155" s="23"/>
      <c r="E155" s="23"/>
      <c r="F155" s="24"/>
      <c r="G155" s="24"/>
      <c r="H155" s="23"/>
      <c r="I155" s="24"/>
      <c r="J155" s="23"/>
      <c r="K155" s="12">
        <f>IFERROR(__xludf.DUMMYFUNCTION("AVERAGE( FILTER( VALUE(K140:K154) , VALUE(K140:K154) &lt;&gt; 0 ) )"),0.7399591685232638)</f>
        <v>0.7399591685</v>
      </c>
      <c r="L155" s="12">
        <f>IFERROR(__xludf.DUMMYFUNCTION("AVERAGE( FILTER( VALUE(L140:L154) , VALUE(L140:L154) &lt;&gt; 0 ) )"),-7.704035175535869)</f>
        <v>-7.704035176</v>
      </c>
      <c r="M155" s="12">
        <f>IFERROR(__xludf.DUMMYFUNCTION("AVERAGE( FILTER( VALUE(M140:M154) , VALUE(M140:M154) &lt;&gt; 0 ) )"),-7.255834013199813)</f>
        <v>-7.255834013</v>
      </c>
      <c r="N155" s="12">
        <f>IFERROR(__xludf.DUMMYFUNCTION("AVERAGE( FILTER( VALUE(N140:N154) , VALUE(N140:N154) &lt;&gt; 0 ) )"),-9.983990021696018)</f>
        <v>-9.983990022</v>
      </c>
      <c r="O155" s="25"/>
      <c r="P155" s="25"/>
      <c r="R155" s="25"/>
      <c r="U155" s="26"/>
      <c r="V155" s="17"/>
      <c r="W155" s="17"/>
      <c r="X155" s="17"/>
    </row>
    <row r="156">
      <c r="A156" s="34"/>
      <c r="B156" s="40"/>
      <c r="C156" s="29"/>
      <c r="D156" s="29"/>
      <c r="E156" s="32"/>
      <c r="F156" s="11"/>
      <c r="G156" s="11"/>
      <c r="H156" s="29"/>
      <c r="I156" s="11"/>
      <c r="J156" s="11"/>
      <c r="K156" s="12"/>
      <c r="L156" s="12"/>
      <c r="M156" s="12"/>
      <c r="N156" s="12"/>
    </row>
    <row r="157">
      <c r="A157" s="34"/>
      <c r="B157" s="40"/>
      <c r="C157" s="29"/>
      <c r="D157" s="29"/>
      <c r="E157" s="32"/>
      <c r="F157" s="11"/>
      <c r="G157" s="11"/>
      <c r="H157" s="29"/>
      <c r="I157" s="11"/>
      <c r="J157" s="11"/>
      <c r="K157" s="12"/>
      <c r="L157" s="12"/>
      <c r="M157" s="12"/>
      <c r="N157" s="12"/>
    </row>
    <row r="158">
      <c r="A158" s="34"/>
      <c r="B158" s="40"/>
      <c r="C158" s="29"/>
      <c r="D158" s="29"/>
      <c r="E158" s="32"/>
      <c r="F158" s="11"/>
      <c r="G158" s="11"/>
      <c r="H158" s="29"/>
      <c r="I158" s="11"/>
      <c r="J158" s="11"/>
      <c r="K158" s="12"/>
      <c r="L158" s="12"/>
      <c r="M158" s="12"/>
      <c r="N158" s="12"/>
    </row>
    <row r="159">
      <c r="A159" s="34"/>
      <c r="B159" s="40"/>
      <c r="C159" s="29"/>
      <c r="D159" s="29"/>
      <c r="E159" s="32"/>
      <c r="F159" s="11"/>
      <c r="G159" s="11"/>
      <c r="H159" s="29"/>
      <c r="I159" s="11"/>
      <c r="J159" s="11"/>
      <c r="K159" s="12"/>
      <c r="L159" s="12"/>
      <c r="M159" s="12"/>
      <c r="N159" s="12"/>
    </row>
    <row r="160">
      <c r="A160" s="34"/>
      <c r="B160" s="40"/>
      <c r="C160" s="29"/>
      <c r="D160" s="29"/>
      <c r="E160" s="32"/>
      <c r="F160" s="11"/>
      <c r="G160" s="11"/>
      <c r="H160" s="29"/>
      <c r="I160" s="11"/>
      <c r="J160" s="11"/>
      <c r="K160" s="12"/>
      <c r="L160" s="12"/>
      <c r="M160" s="12"/>
      <c r="N160" s="12"/>
    </row>
    <row r="161">
      <c r="A161" s="34"/>
      <c r="B161" s="40"/>
      <c r="C161" s="29"/>
      <c r="D161" s="29"/>
      <c r="E161" s="32"/>
      <c r="F161" s="11"/>
      <c r="G161" s="11"/>
      <c r="H161" s="29"/>
      <c r="I161" s="11"/>
      <c r="J161" s="11"/>
      <c r="K161" s="12"/>
      <c r="L161" s="12"/>
      <c r="M161" s="12"/>
      <c r="N161" s="12"/>
    </row>
    <row r="162">
      <c r="A162" s="34"/>
      <c r="B162" s="40"/>
      <c r="C162" s="29"/>
      <c r="D162" s="29"/>
      <c r="E162" s="32"/>
      <c r="F162" s="11"/>
      <c r="G162" s="11"/>
      <c r="H162" s="33"/>
      <c r="I162" s="11"/>
      <c r="J162" s="11"/>
      <c r="K162" s="12"/>
      <c r="L162" s="12"/>
      <c r="M162" s="12"/>
      <c r="N162" s="12"/>
    </row>
    <row r="163">
      <c r="A163" s="34"/>
      <c r="B163" s="40"/>
      <c r="C163" s="29"/>
      <c r="D163" s="29"/>
      <c r="E163" s="32"/>
      <c r="F163" s="11"/>
      <c r="G163" s="11"/>
      <c r="H163" s="33"/>
      <c r="I163" s="11"/>
      <c r="J163" s="11"/>
      <c r="K163" s="12"/>
      <c r="L163" s="12"/>
      <c r="M163" s="12"/>
      <c r="N163" s="12"/>
    </row>
    <row r="164">
      <c r="A164" s="34"/>
      <c r="B164" s="40"/>
      <c r="C164" s="29"/>
      <c r="D164" s="29"/>
      <c r="E164" s="32"/>
      <c r="F164" s="37"/>
      <c r="G164" s="39"/>
      <c r="H164" s="40"/>
      <c r="I164" s="39"/>
      <c r="J164" s="39"/>
      <c r="K164" s="12"/>
      <c r="L164" s="12"/>
      <c r="M164" s="12"/>
      <c r="N164" s="12"/>
    </row>
    <row r="165">
      <c r="A165" s="34"/>
      <c r="B165" s="40"/>
      <c r="C165" s="29"/>
      <c r="D165" s="29"/>
      <c r="E165" s="32"/>
      <c r="F165" s="37"/>
      <c r="G165" s="39"/>
      <c r="H165" s="40"/>
      <c r="I165" s="39"/>
      <c r="J165" s="39"/>
      <c r="K165" s="12"/>
      <c r="L165" s="12"/>
      <c r="M165" s="12"/>
      <c r="N165" s="12"/>
    </row>
    <row r="166">
      <c r="A166" s="34"/>
      <c r="B166" s="40"/>
      <c r="C166" s="29"/>
      <c r="D166" s="29"/>
      <c r="E166" s="32"/>
      <c r="F166" s="37"/>
      <c r="G166" s="39"/>
      <c r="H166" s="40"/>
      <c r="I166" s="39"/>
      <c r="J166" s="39"/>
      <c r="K166" s="12"/>
      <c r="L166" s="12"/>
      <c r="M166" s="12"/>
      <c r="N166" s="12"/>
    </row>
    <row r="167">
      <c r="A167" s="34"/>
      <c r="B167" s="40"/>
      <c r="C167" s="29"/>
      <c r="D167" s="29"/>
      <c r="E167" s="32"/>
      <c r="F167" s="37"/>
      <c r="G167" s="39"/>
      <c r="H167" s="40"/>
      <c r="I167" s="39"/>
      <c r="J167" s="39"/>
      <c r="K167" s="12"/>
      <c r="L167" s="12"/>
      <c r="M167" s="12"/>
      <c r="N167" s="12"/>
    </row>
    <row r="168">
      <c r="A168" s="34"/>
      <c r="B168" s="40"/>
      <c r="C168" s="29"/>
      <c r="D168" s="29"/>
      <c r="E168" s="32"/>
      <c r="F168" s="37"/>
      <c r="G168" s="39"/>
      <c r="H168" s="40"/>
      <c r="I168" s="39"/>
      <c r="J168" s="39"/>
      <c r="K168" s="12"/>
      <c r="L168" s="12"/>
      <c r="M168" s="12"/>
      <c r="N168" s="12"/>
    </row>
    <row r="169">
      <c r="A169" s="34"/>
      <c r="B169" s="40"/>
      <c r="C169" s="29"/>
      <c r="D169" s="29"/>
      <c r="E169" s="32"/>
      <c r="F169" s="37"/>
      <c r="G169" s="39"/>
      <c r="H169" s="40"/>
      <c r="I169" s="39"/>
      <c r="J169" s="39"/>
      <c r="K169" s="12"/>
      <c r="L169" s="12"/>
      <c r="M169" s="12"/>
      <c r="N169" s="12"/>
    </row>
    <row r="170">
      <c r="A170" s="34"/>
      <c r="B170" s="42"/>
      <c r="C170" s="29"/>
      <c r="D170" s="29"/>
      <c r="E170" s="32"/>
      <c r="F170" s="37"/>
      <c r="G170" s="39"/>
      <c r="H170" s="40"/>
      <c r="I170" s="39"/>
      <c r="J170" s="39"/>
      <c r="K170" s="12"/>
      <c r="L170" s="12"/>
      <c r="M170" s="12"/>
      <c r="N170" s="12"/>
    </row>
    <row r="171">
      <c r="A171" s="34"/>
      <c r="B171" s="42"/>
      <c r="C171" s="29"/>
      <c r="D171" s="29"/>
      <c r="E171" s="32"/>
      <c r="F171" s="37"/>
      <c r="G171" s="39"/>
      <c r="H171" s="40"/>
      <c r="I171" s="39"/>
      <c r="J171" s="39"/>
      <c r="K171" s="12"/>
      <c r="L171" s="12"/>
      <c r="M171" s="12"/>
      <c r="N171" s="12"/>
    </row>
    <row r="172">
      <c r="A172" s="34"/>
      <c r="B172" s="42"/>
      <c r="C172" s="29"/>
      <c r="D172" s="29"/>
      <c r="E172" s="32"/>
      <c r="F172" s="37"/>
      <c r="G172" s="39"/>
      <c r="H172" s="40"/>
      <c r="I172" s="39"/>
      <c r="J172" s="39"/>
      <c r="K172" s="12"/>
      <c r="L172" s="12"/>
      <c r="M172" s="12"/>
      <c r="N172" s="12"/>
    </row>
    <row r="173">
      <c r="A173" s="34"/>
      <c r="B173" s="42"/>
      <c r="C173" s="29"/>
      <c r="D173" s="29"/>
      <c r="E173" s="32"/>
      <c r="F173" s="37"/>
      <c r="G173" s="39"/>
      <c r="H173" s="40"/>
      <c r="I173" s="39"/>
      <c r="J173" s="39"/>
      <c r="K173" s="12"/>
      <c r="L173" s="12"/>
      <c r="M173" s="12"/>
      <c r="N173" s="12"/>
    </row>
    <row r="174">
      <c r="A174" s="34"/>
      <c r="B174" s="42"/>
      <c r="C174" s="29"/>
      <c r="D174" s="29"/>
      <c r="E174" s="32"/>
      <c r="F174" s="37"/>
      <c r="G174" s="39"/>
      <c r="H174" s="40"/>
      <c r="I174" s="39"/>
      <c r="J174" s="39"/>
      <c r="K174" s="12"/>
      <c r="L174" s="12"/>
      <c r="M174" s="12"/>
      <c r="N174" s="12"/>
    </row>
    <row r="175">
      <c r="A175" s="34"/>
      <c r="B175" s="42"/>
      <c r="C175" s="29"/>
      <c r="D175" s="29"/>
      <c r="E175" s="32"/>
      <c r="F175" s="37"/>
      <c r="G175" s="39"/>
      <c r="H175" s="40"/>
      <c r="I175" s="39"/>
      <c r="J175" s="39"/>
      <c r="K175" s="12"/>
      <c r="L175" s="12"/>
      <c r="M175" s="12"/>
      <c r="N175" s="12"/>
    </row>
    <row r="176">
      <c r="A176" s="34"/>
      <c r="B176" s="42"/>
      <c r="C176" s="29"/>
      <c r="D176" s="29"/>
      <c r="E176" s="32"/>
      <c r="F176" s="37"/>
      <c r="G176" s="39"/>
      <c r="H176" s="40"/>
      <c r="I176" s="39"/>
      <c r="J176" s="39"/>
      <c r="K176" s="12"/>
      <c r="L176" s="12"/>
      <c r="M176" s="12"/>
      <c r="N176" s="12"/>
    </row>
    <row r="177">
      <c r="A177" s="34"/>
      <c r="B177" s="42"/>
      <c r="C177" s="29"/>
      <c r="D177" s="29"/>
      <c r="E177" s="32"/>
      <c r="F177" s="37"/>
      <c r="G177" s="39"/>
      <c r="H177" s="40"/>
      <c r="I177" s="39"/>
      <c r="J177" s="39"/>
      <c r="K177" s="12"/>
      <c r="L177" s="12"/>
      <c r="M177" s="12"/>
      <c r="N177" s="12"/>
    </row>
    <row r="178">
      <c r="A178" s="34"/>
      <c r="B178" s="42"/>
      <c r="C178" s="29"/>
      <c r="D178" s="29"/>
      <c r="E178" s="32"/>
      <c r="F178" s="37"/>
      <c r="G178" s="39"/>
      <c r="H178" s="40"/>
      <c r="I178" s="39"/>
      <c r="J178" s="39"/>
      <c r="K178" s="12"/>
      <c r="L178" s="12"/>
      <c r="M178" s="12"/>
      <c r="N178" s="12"/>
    </row>
    <row r="179">
      <c r="A179" s="4"/>
      <c r="B179" s="5"/>
      <c r="C179" s="5"/>
      <c r="D179" s="5"/>
      <c r="F179" s="5"/>
      <c r="K179" s="5"/>
      <c r="L179" s="5"/>
      <c r="M179" s="5"/>
      <c r="N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7"/>
      <c r="B181" s="7"/>
      <c r="C181" s="33"/>
      <c r="D181" s="11"/>
      <c r="E181" s="7"/>
      <c r="F181" s="43"/>
      <c r="G181" s="43"/>
      <c r="H181" s="43"/>
      <c r="I181" s="11"/>
      <c r="J181" s="11"/>
      <c r="K181" s="12"/>
      <c r="L181" s="12"/>
      <c r="M181" s="12"/>
      <c r="N181" s="12"/>
    </row>
    <row r="182">
      <c r="A182" s="7"/>
      <c r="B182" s="7"/>
      <c r="C182" s="33"/>
      <c r="D182" s="11"/>
      <c r="E182" s="7"/>
      <c r="F182" s="43"/>
      <c r="G182" s="43"/>
      <c r="H182" s="43"/>
      <c r="I182" s="11"/>
      <c r="J182" s="11"/>
      <c r="K182" s="12"/>
      <c r="L182" s="12"/>
      <c r="M182" s="12"/>
      <c r="N182" s="12"/>
    </row>
    <row r="183">
      <c r="A183" s="7"/>
      <c r="B183" s="7"/>
      <c r="C183" s="33"/>
      <c r="D183" s="11"/>
      <c r="E183" s="7"/>
      <c r="F183" s="11"/>
      <c r="G183" s="11"/>
      <c r="H183" s="11"/>
      <c r="I183" s="11"/>
      <c r="J183" s="11"/>
      <c r="K183" s="12"/>
      <c r="L183" s="12"/>
      <c r="M183" s="12"/>
      <c r="N183" s="12"/>
    </row>
    <row r="184">
      <c r="A184" s="7"/>
      <c r="B184" s="7"/>
      <c r="C184" s="33"/>
      <c r="D184" s="11"/>
      <c r="E184" s="7"/>
      <c r="F184" s="43"/>
      <c r="G184" s="43"/>
      <c r="H184" s="43"/>
      <c r="I184" s="11"/>
      <c r="J184" s="11"/>
      <c r="K184" s="12"/>
      <c r="L184" s="12"/>
      <c r="M184" s="12"/>
      <c r="N184" s="12"/>
    </row>
    <row r="185">
      <c r="A185" s="7"/>
      <c r="B185" s="7"/>
      <c r="C185" s="33"/>
      <c r="D185" s="11"/>
      <c r="E185" s="7"/>
      <c r="F185" s="43"/>
      <c r="G185" s="43"/>
      <c r="H185" s="43"/>
      <c r="I185" s="11"/>
      <c r="J185" s="11"/>
      <c r="K185" s="12"/>
      <c r="L185" s="12"/>
      <c r="M185" s="12"/>
      <c r="N185" s="12"/>
    </row>
    <row r="186">
      <c r="A186" s="7"/>
      <c r="B186" s="7"/>
      <c r="C186" s="33"/>
      <c r="D186" s="11"/>
      <c r="E186" s="7"/>
      <c r="F186" s="43"/>
      <c r="G186" s="43"/>
      <c r="H186" s="43"/>
      <c r="I186" s="11"/>
      <c r="J186" s="11"/>
      <c r="K186" s="12"/>
      <c r="L186" s="12"/>
      <c r="M186" s="12"/>
      <c r="N186" s="12"/>
    </row>
    <row r="187">
      <c r="A187" s="7"/>
      <c r="B187" s="7"/>
      <c r="C187" s="33"/>
      <c r="D187" s="11"/>
      <c r="E187" s="7"/>
      <c r="F187" s="43"/>
      <c r="G187" s="43"/>
      <c r="H187" s="43"/>
      <c r="I187" s="11"/>
      <c r="J187" s="11"/>
      <c r="K187" s="12"/>
      <c r="L187" s="12"/>
      <c r="M187" s="12"/>
      <c r="N187" s="12"/>
    </row>
    <row r="188">
      <c r="A188" s="7"/>
      <c r="B188" s="7"/>
      <c r="C188" s="33"/>
      <c r="D188" s="11"/>
      <c r="E188" s="7"/>
      <c r="F188" s="43"/>
      <c r="G188" s="43"/>
      <c r="H188" s="43"/>
      <c r="I188" s="11"/>
      <c r="J188" s="11"/>
      <c r="K188" s="12"/>
      <c r="L188" s="12"/>
      <c r="M188" s="12"/>
      <c r="N188" s="12"/>
    </row>
    <row r="189">
      <c r="A189" s="7"/>
      <c r="B189" s="7"/>
      <c r="C189" s="33"/>
      <c r="D189" s="11"/>
      <c r="E189" s="7"/>
      <c r="F189" s="43"/>
      <c r="G189" s="43"/>
      <c r="H189" s="43"/>
      <c r="I189" s="11"/>
      <c r="J189" s="11"/>
      <c r="K189" s="12"/>
      <c r="L189" s="12"/>
      <c r="M189" s="12"/>
      <c r="N189" s="12"/>
    </row>
    <row r="190">
      <c r="A190" s="18"/>
      <c r="B190" s="7"/>
      <c r="C190" s="33"/>
      <c r="D190" s="11"/>
      <c r="E190" s="18"/>
      <c r="F190" s="43"/>
      <c r="G190" s="43"/>
      <c r="H190" s="43"/>
      <c r="I190" s="11"/>
      <c r="J190" s="11"/>
      <c r="K190" s="12"/>
      <c r="L190" s="12"/>
      <c r="M190" s="12"/>
      <c r="N190" s="12"/>
    </row>
    <row r="191">
      <c r="A191" s="18"/>
      <c r="B191" s="7"/>
      <c r="C191" s="33"/>
      <c r="D191" s="11"/>
      <c r="E191" s="18"/>
      <c r="F191" s="43"/>
      <c r="G191" s="43"/>
      <c r="H191" s="43"/>
      <c r="I191" s="11"/>
      <c r="J191" s="11"/>
      <c r="K191" s="12"/>
      <c r="L191" s="12"/>
      <c r="M191" s="12"/>
      <c r="N191" s="12"/>
    </row>
    <row r="192">
      <c r="A192" s="18"/>
      <c r="B192" s="7"/>
      <c r="C192" s="33"/>
      <c r="D192" s="11"/>
      <c r="E192" s="18"/>
      <c r="F192" s="43"/>
      <c r="G192" s="43"/>
      <c r="H192" s="43"/>
      <c r="I192" s="11"/>
      <c r="J192" s="11"/>
      <c r="K192" s="12"/>
      <c r="L192" s="12"/>
      <c r="M192" s="12"/>
      <c r="N192" s="12"/>
    </row>
    <row r="193">
      <c r="A193" s="18"/>
      <c r="B193" s="7"/>
      <c r="C193" s="33"/>
      <c r="D193" s="11"/>
      <c r="E193" s="18"/>
      <c r="F193" s="43"/>
      <c r="G193" s="43"/>
      <c r="H193" s="43"/>
      <c r="I193" s="11"/>
      <c r="J193" s="11"/>
      <c r="K193" s="12"/>
      <c r="L193" s="12"/>
      <c r="M193" s="12"/>
      <c r="N193" s="12"/>
    </row>
    <row r="194">
      <c r="A194" s="18"/>
      <c r="B194" s="7"/>
      <c r="C194" s="33"/>
      <c r="D194" s="11"/>
      <c r="E194" s="18"/>
      <c r="F194" s="43"/>
      <c r="G194" s="43"/>
      <c r="H194" s="43"/>
      <c r="I194" s="11"/>
      <c r="J194" s="11"/>
      <c r="K194" s="12"/>
      <c r="L194" s="12"/>
      <c r="M194" s="12"/>
      <c r="N194" s="12"/>
    </row>
    <row r="195">
      <c r="A195" s="18"/>
      <c r="B195" s="7"/>
      <c r="C195" s="33"/>
      <c r="D195" s="11"/>
      <c r="E195" s="18"/>
      <c r="F195" s="43"/>
      <c r="G195" s="43"/>
      <c r="H195" s="43"/>
      <c r="I195" s="11"/>
      <c r="J195" s="11"/>
      <c r="K195" s="12"/>
      <c r="L195" s="12"/>
      <c r="M195" s="12"/>
      <c r="N195" s="12"/>
    </row>
    <row r="196">
      <c r="A196" s="18"/>
      <c r="B196" s="18"/>
      <c r="C196" s="33"/>
      <c r="D196" s="11"/>
      <c r="E196" s="18"/>
      <c r="F196" s="43"/>
      <c r="G196" s="43"/>
      <c r="H196" s="43"/>
      <c r="I196" s="11"/>
      <c r="J196" s="11"/>
      <c r="K196" s="12"/>
      <c r="L196" s="12"/>
      <c r="M196" s="12"/>
      <c r="N196" s="12"/>
    </row>
    <row r="197">
      <c r="A197" s="18"/>
      <c r="B197" s="18"/>
      <c r="C197" s="33"/>
      <c r="D197" s="11"/>
      <c r="E197" s="18"/>
      <c r="F197" s="43"/>
      <c r="G197" s="43"/>
      <c r="H197" s="43"/>
      <c r="I197" s="11"/>
      <c r="J197" s="11"/>
      <c r="K197" s="12"/>
      <c r="L197" s="12"/>
      <c r="M197" s="12"/>
      <c r="N197" s="12"/>
    </row>
    <row r="198">
      <c r="A198" s="18"/>
      <c r="B198" s="18"/>
      <c r="C198" s="33"/>
      <c r="D198" s="11"/>
      <c r="E198" s="18"/>
      <c r="F198" s="43"/>
      <c r="G198" s="43"/>
      <c r="H198" s="43"/>
      <c r="I198" s="11"/>
      <c r="J198" s="11"/>
      <c r="K198" s="12"/>
      <c r="L198" s="12"/>
      <c r="M198" s="12"/>
      <c r="N198" s="12"/>
    </row>
    <row r="199">
      <c r="A199" s="18"/>
      <c r="B199" s="18"/>
      <c r="C199" s="33"/>
      <c r="D199" s="11"/>
      <c r="E199" s="18"/>
      <c r="F199" s="43"/>
      <c r="G199" s="43"/>
      <c r="H199" s="43"/>
      <c r="I199" s="11"/>
      <c r="J199" s="11"/>
      <c r="K199" s="12"/>
      <c r="L199" s="12"/>
      <c r="M199" s="12"/>
      <c r="N199" s="12"/>
    </row>
    <row r="200">
      <c r="A200" s="18"/>
      <c r="B200" s="18"/>
      <c r="C200" s="33"/>
      <c r="D200" s="11"/>
      <c r="E200" s="18"/>
      <c r="F200" s="43"/>
      <c r="G200" s="43"/>
      <c r="H200" s="43"/>
      <c r="I200" s="11"/>
      <c r="J200" s="11"/>
      <c r="K200" s="12"/>
      <c r="L200" s="12"/>
      <c r="M200" s="12"/>
      <c r="N200" s="12"/>
    </row>
    <row r="201">
      <c r="A201" s="18"/>
      <c r="B201" s="18"/>
      <c r="C201" s="33"/>
      <c r="D201" s="11"/>
      <c r="E201" s="18"/>
      <c r="F201" s="43"/>
      <c r="G201" s="43"/>
      <c r="H201" s="43"/>
      <c r="I201" s="11"/>
      <c r="J201" s="11"/>
      <c r="K201" s="12"/>
      <c r="L201" s="12"/>
      <c r="M201" s="12"/>
      <c r="N201" s="12"/>
    </row>
    <row r="202">
      <c r="A202" s="18"/>
      <c r="B202" s="18"/>
      <c r="C202" s="33"/>
      <c r="D202" s="11"/>
      <c r="E202" s="18"/>
      <c r="F202" s="43"/>
      <c r="G202" s="43"/>
      <c r="H202" s="43"/>
      <c r="I202" s="11"/>
      <c r="J202" s="11"/>
      <c r="K202" s="12"/>
      <c r="L202" s="12"/>
      <c r="M202" s="12"/>
      <c r="N202" s="12"/>
    </row>
    <row r="203">
      <c r="A203" s="27"/>
      <c r="B203" s="28"/>
      <c r="C203" s="29"/>
      <c r="D203" s="29"/>
      <c r="E203" s="29"/>
      <c r="F203" s="30"/>
      <c r="G203" s="30"/>
      <c r="H203" s="29"/>
      <c r="I203" s="30"/>
      <c r="J203" s="29"/>
      <c r="K203" s="12"/>
      <c r="L203" s="12"/>
      <c r="M203" s="12"/>
      <c r="N203" s="12"/>
    </row>
  </sheetData>
  <mergeCells count="12">
    <mergeCell ref="D93:E93"/>
    <mergeCell ref="D138:E138"/>
    <mergeCell ref="F138:J138"/>
    <mergeCell ref="D179:E179"/>
    <mergeCell ref="F179:J179"/>
    <mergeCell ref="D2:E2"/>
    <mergeCell ref="F2:J2"/>
    <mergeCell ref="D29:E29"/>
    <mergeCell ref="F29:J29"/>
    <mergeCell ref="D58:E58"/>
    <mergeCell ref="F58:J58"/>
    <mergeCell ref="F93:J93"/>
  </mergeCells>
  <conditionalFormatting sqref="A4:A25 B4:B7 O4:P68 R4:R68 A31:A54 B31:B34 A60:A89 B60:B63 O90:P90 R90 A95:A134 B95:B98 O135:P135 R135 A140:B154 O155:P155 R155 A156:A179 A181:A202 B181:B184">
    <cfRule type="cellIs" dxfId="0" priority="1" operator="lessThan">
      <formula>0</formula>
    </cfRule>
  </conditionalFormatting>
  <conditionalFormatting sqref="K4:L29 M4:N90 K31:L58 K60:L90 K93:L93 M93:N179 K95:L138 K140:L179 K181:N203">
    <cfRule type="cellIs" dxfId="0" priority="2" operator="lessThan">
      <formula>0</formula>
    </cfRule>
  </conditionalFormatting>
  <conditionalFormatting sqref="K4:L29 M4:N90 K31:L58 K60:L90 K93:L93 M93:N179 K95:L138 K140:L179 K181:N203">
    <cfRule type="cellIs" dxfId="1" priority="3" operator="greaterThan">
      <formula>0</formula>
    </cfRule>
  </conditionalFormatting>
  <conditionalFormatting sqref="K4:N26 K31:N55 K60:N90 K95:N135 K140:N155 K181:N203">
    <cfRule type="cellIs" dxfId="2" priority="4" operator="equal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21.25"/>
    <col customWidth="1" min="5" max="5" width="21.5"/>
    <col customWidth="1" min="6" max="6" width="20.88"/>
    <col customWidth="1" min="9" max="9" width="20.25"/>
    <col customWidth="1" min="10" max="10" width="17.63"/>
    <col customWidth="1" min="11" max="11" width="15.5"/>
    <col customWidth="1" min="12" max="12" width="15.88"/>
  </cols>
  <sheetData>
    <row r="1">
      <c r="A1" s="1"/>
      <c r="B1" s="2"/>
      <c r="C1" s="3"/>
      <c r="D1" s="3"/>
      <c r="E1" s="3"/>
      <c r="F1" s="3"/>
      <c r="G1" s="2"/>
      <c r="H1" s="3"/>
      <c r="I1" s="3"/>
      <c r="J1" s="3"/>
      <c r="K1" s="3"/>
      <c r="L1" s="3"/>
    </row>
    <row r="2">
      <c r="A2" s="4"/>
      <c r="B2" s="5"/>
      <c r="C2" s="6" t="s">
        <v>1</v>
      </c>
      <c r="E2" s="6" t="s">
        <v>2</v>
      </c>
      <c r="J2" s="5"/>
      <c r="K2" s="5"/>
      <c r="L2" s="5"/>
      <c r="M2" s="3"/>
    </row>
    <row r="3">
      <c r="A3" s="6" t="s">
        <v>154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6</v>
      </c>
      <c r="I3" s="6" t="s">
        <v>10</v>
      </c>
      <c r="J3" s="6" t="s">
        <v>155</v>
      </c>
      <c r="K3" s="6" t="s">
        <v>13</v>
      </c>
      <c r="L3" s="6" t="s">
        <v>14</v>
      </c>
      <c r="M3" s="3"/>
    </row>
    <row r="4">
      <c r="A4" s="4" t="s">
        <v>156</v>
      </c>
      <c r="B4" s="44">
        <v>2.0</v>
      </c>
      <c r="C4" s="45">
        <v>82.6</v>
      </c>
      <c r="D4" s="45">
        <v>0.03</v>
      </c>
      <c r="E4" s="11">
        <v>70.4</v>
      </c>
      <c r="F4" s="11">
        <v>71.16</v>
      </c>
      <c r="G4" s="36">
        <v>99.7</v>
      </c>
      <c r="H4" s="43">
        <v>54728.759999999995</v>
      </c>
      <c r="I4" s="11">
        <v>0.5864172006235594</v>
      </c>
      <c r="J4" s="32">
        <f t="shared" ref="J4:J64" si="1">(E4 - C4) / C4 * 100</f>
        <v>-14.76997579</v>
      </c>
      <c r="K4" s="32">
        <f t="shared" ref="K4:K64" si="2">(F4 - C4) / C4 * 100</f>
        <v>-13.84987893</v>
      </c>
      <c r="L4" s="32">
        <f t="shared" ref="L4:L64" si="3">(F4 - G4) / G4 * 100</f>
        <v>-28.62587763</v>
      </c>
      <c r="P4" s="2"/>
      <c r="Q4" s="2"/>
      <c r="R4" s="5"/>
      <c r="S4" s="5"/>
      <c r="T4" s="5"/>
      <c r="U4" s="5"/>
      <c r="V4" s="2"/>
      <c r="W4" s="3"/>
      <c r="X4" s="3"/>
      <c r="Y4" s="3"/>
      <c r="Z4" s="3"/>
      <c r="AA4" s="3"/>
    </row>
    <row r="5">
      <c r="A5" s="4" t="s">
        <v>156</v>
      </c>
      <c r="B5" s="44">
        <v>4.0</v>
      </c>
      <c r="C5" s="45">
        <v>177.6</v>
      </c>
      <c r="D5" s="45">
        <v>0.04</v>
      </c>
      <c r="E5" s="11">
        <v>162.7</v>
      </c>
      <c r="F5" s="11">
        <v>163.53</v>
      </c>
      <c r="G5" s="36">
        <v>181.9</v>
      </c>
      <c r="H5" s="43">
        <v>69124.01</v>
      </c>
      <c r="I5" s="11">
        <v>0.7615592394908742</v>
      </c>
      <c r="J5" s="32">
        <f t="shared" si="1"/>
        <v>-8.38963964</v>
      </c>
      <c r="K5" s="32">
        <f t="shared" si="2"/>
        <v>-7.922297297</v>
      </c>
      <c r="L5" s="32">
        <f t="shared" si="3"/>
        <v>-10.09895547</v>
      </c>
      <c r="P5" s="2"/>
      <c r="Q5" s="2"/>
      <c r="R5" s="5"/>
      <c r="S5" s="5"/>
      <c r="T5" s="5"/>
      <c r="U5" s="5"/>
      <c r="V5" s="2"/>
      <c r="W5" s="3"/>
      <c r="X5" s="3"/>
      <c r="Y5" s="3"/>
      <c r="Z5" s="3"/>
      <c r="AA5" s="3"/>
    </row>
    <row r="6">
      <c r="A6" s="4" t="s">
        <v>156</v>
      </c>
      <c r="B6" s="44">
        <v>6.0</v>
      </c>
      <c r="C6" s="45">
        <v>254.8</v>
      </c>
      <c r="D6" s="45">
        <v>0.05</v>
      </c>
      <c r="E6" s="11">
        <v>241.0</v>
      </c>
      <c r="F6" s="11">
        <v>242.23</v>
      </c>
      <c r="G6" s="36">
        <v>254.8</v>
      </c>
      <c r="H6" s="43">
        <v>83878.61</v>
      </c>
      <c r="I6" s="11">
        <v>0.8907915247628951</v>
      </c>
      <c r="J6" s="32">
        <f t="shared" si="1"/>
        <v>-5.416012559</v>
      </c>
      <c r="K6" s="32">
        <f t="shared" si="2"/>
        <v>-4.933281005</v>
      </c>
      <c r="L6" s="32">
        <f t="shared" si="3"/>
        <v>-4.933281005</v>
      </c>
      <c r="N6" s="25"/>
      <c r="P6" s="46"/>
      <c r="Q6" s="2"/>
      <c r="R6" s="14"/>
      <c r="S6" s="17"/>
      <c r="T6" s="17"/>
      <c r="U6" s="17"/>
      <c r="V6" s="2"/>
      <c r="W6" s="2"/>
      <c r="X6" s="2"/>
      <c r="Y6" s="20"/>
      <c r="Z6" s="25"/>
      <c r="AA6" s="25"/>
      <c r="AC6" s="25"/>
    </row>
    <row r="7">
      <c r="A7" s="4" t="s">
        <v>156</v>
      </c>
      <c r="B7" s="44">
        <v>8.0</v>
      </c>
      <c r="C7" s="45">
        <v>302.8</v>
      </c>
      <c r="D7" s="45">
        <v>0.06</v>
      </c>
      <c r="E7" s="11">
        <v>292.2</v>
      </c>
      <c r="F7" s="11">
        <v>293.47</v>
      </c>
      <c r="G7" s="36">
        <v>303.1</v>
      </c>
      <c r="H7" s="43">
        <v>99781.13</v>
      </c>
      <c r="I7" s="11">
        <v>1.011710105011754</v>
      </c>
      <c r="J7" s="32">
        <f t="shared" si="1"/>
        <v>-3.500660502</v>
      </c>
      <c r="K7" s="32">
        <f t="shared" si="2"/>
        <v>-3.081241744</v>
      </c>
      <c r="L7" s="32">
        <f t="shared" si="3"/>
        <v>-3.177169251</v>
      </c>
      <c r="N7" s="25"/>
      <c r="P7" s="46"/>
      <c r="Q7" s="2"/>
      <c r="R7" s="14"/>
      <c r="S7" s="17"/>
      <c r="T7" s="17"/>
      <c r="U7" s="17"/>
      <c r="V7" s="2"/>
      <c r="W7" s="2"/>
      <c r="X7" s="2"/>
      <c r="Y7" s="25"/>
      <c r="Z7" s="25"/>
      <c r="AA7" s="25"/>
      <c r="AC7" s="25"/>
    </row>
    <row r="8">
      <c r="A8" s="4" t="s">
        <v>156</v>
      </c>
      <c r="B8" s="44">
        <v>10.0</v>
      </c>
      <c r="C8" s="45">
        <v>331.4</v>
      </c>
      <c r="D8" s="45">
        <v>0.07</v>
      </c>
      <c r="E8" s="11">
        <v>323.0</v>
      </c>
      <c r="F8" s="11">
        <v>324.15</v>
      </c>
      <c r="G8" s="36">
        <v>330.1</v>
      </c>
      <c r="H8" s="43">
        <v>115758.24</v>
      </c>
      <c r="I8" s="11">
        <v>0.7161585907259399</v>
      </c>
      <c r="J8" s="32">
        <f t="shared" si="1"/>
        <v>-2.534701267</v>
      </c>
      <c r="K8" s="32">
        <f t="shared" si="2"/>
        <v>-2.187688594</v>
      </c>
      <c r="L8" s="32">
        <f t="shared" si="3"/>
        <v>-1.802484096</v>
      </c>
      <c r="N8" s="25"/>
      <c r="P8" s="46"/>
      <c r="Q8" s="2"/>
      <c r="R8" s="14"/>
      <c r="S8" s="17"/>
      <c r="T8" s="17"/>
      <c r="U8" s="17"/>
      <c r="V8" s="2"/>
      <c r="W8" s="2"/>
      <c r="X8" s="2"/>
      <c r="Y8" s="25"/>
      <c r="Z8" s="25"/>
      <c r="AA8" s="25"/>
      <c r="AC8" s="25"/>
    </row>
    <row r="9">
      <c r="A9" s="4" t="s">
        <v>156</v>
      </c>
      <c r="B9" s="44">
        <v>14.0</v>
      </c>
      <c r="C9" s="45">
        <v>361.7</v>
      </c>
      <c r="D9" s="45">
        <v>0.09</v>
      </c>
      <c r="E9" s="11">
        <v>356.5</v>
      </c>
      <c r="F9" s="11">
        <v>357.36</v>
      </c>
      <c r="G9" s="36">
        <v>361.4</v>
      </c>
      <c r="H9" s="43">
        <v>145829.33</v>
      </c>
      <c r="I9" s="11">
        <v>0.589990838078167</v>
      </c>
      <c r="J9" s="32">
        <f t="shared" si="1"/>
        <v>-1.437655516</v>
      </c>
      <c r="K9" s="32">
        <f t="shared" si="2"/>
        <v>-1.199889411</v>
      </c>
      <c r="L9" s="32">
        <f t="shared" si="3"/>
        <v>-1.117874931</v>
      </c>
      <c r="N9" s="25"/>
      <c r="P9" s="46"/>
      <c r="Q9" s="2"/>
      <c r="R9" s="14"/>
      <c r="S9" s="17"/>
      <c r="T9" s="17"/>
      <c r="U9" s="17"/>
      <c r="V9" s="2"/>
      <c r="W9" s="2"/>
      <c r="X9" s="2"/>
      <c r="Y9" s="25"/>
      <c r="Z9" s="25"/>
      <c r="AA9" s="25"/>
      <c r="AC9" s="25"/>
    </row>
    <row r="10">
      <c r="A10" s="4" t="s">
        <v>156</v>
      </c>
      <c r="B10" s="44">
        <v>18.0</v>
      </c>
      <c r="C10" s="45">
        <v>375.6</v>
      </c>
      <c r="D10" s="45">
        <v>0.1</v>
      </c>
      <c r="E10" s="11">
        <v>372.7</v>
      </c>
      <c r="F10" s="11">
        <v>373.31</v>
      </c>
      <c r="G10" s="36">
        <v>376.3</v>
      </c>
      <c r="H10" s="43">
        <v>171111.41</v>
      </c>
      <c r="I10" s="11">
        <v>0.5429698485592983</v>
      </c>
      <c r="J10" s="32">
        <f t="shared" si="1"/>
        <v>-0.7720979766</v>
      </c>
      <c r="K10" s="32">
        <f t="shared" si="2"/>
        <v>-0.6096911608</v>
      </c>
      <c r="L10" s="32">
        <f t="shared" si="3"/>
        <v>-0.7945787935</v>
      </c>
      <c r="N10" s="25"/>
      <c r="P10" s="46"/>
      <c r="Q10" s="2"/>
      <c r="R10" s="14"/>
      <c r="S10" s="17"/>
      <c r="T10" s="17"/>
      <c r="U10" s="17"/>
      <c r="V10" s="2"/>
      <c r="W10" s="2"/>
      <c r="X10" s="2"/>
      <c r="Y10" s="25"/>
      <c r="Z10" s="25"/>
      <c r="AA10" s="25"/>
      <c r="AC10" s="25"/>
    </row>
    <row r="11">
      <c r="A11" s="4" t="s">
        <v>156</v>
      </c>
      <c r="B11" s="44">
        <v>20.0</v>
      </c>
      <c r="C11" s="45">
        <v>380.4</v>
      </c>
      <c r="D11" s="45">
        <v>0.1</v>
      </c>
      <c r="E11" s="11">
        <v>377.8</v>
      </c>
      <c r="F11" s="11">
        <v>378.45</v>
      </c>
      <c r="G11" s="36">
        <v>380.3</v>
      </c>
      <c r="H11" s="43">
        <v>186025.38</v>
      </c>
      <c r="I11" s="11">
        <v>0.5332615203241324</v>
      </c>
      <c r="J11" s="32">
        <f t="shared" si="1"/>
        <v>-0.683491062</v>
      </c>
      <c r="K11" s="32">
        <f t="shared" si="2"/>
        <v>-0.5126182965</v>
      </c>
      <c r="L11" s="32">
        <f t="shared" si="3"/>
        <v>-0.4864580594</v>
      </c>
      <c r="N11" s="25"/>
      <c r="P11" s="46"/>
      <c r="Q11" s="2"/>
      <c r="R11" s="14"/>
      <c r="S11" s="17"/>
      <c r="T11" s="17"/>
      <c r="U11" s="17"/>
      <c r="V11" s="2"/>
      <c r="W11" s="2"/>
      <c r="X11" s="2"/>
      <c r="Y11" s="25"/>
      <c r="Z11" s="25"/>
      <c r="AA11" s="25"/>
      <c r="AC11" s="25"/>
    </row>
    <row r="12">
      <c r="A12" s="4" t="s">
        <v>156</v>
      </c>
      <c r="B12" s="44">
        <v>24.0</v>
      </c>
      <c r="C12" s="45">
        <v>386.7</v>
      </c>
      <c r="D12" s="45">
        <v>0.11</v>
      </c>
      <c r="E12" s="11">
        <v>384.6</v>
      </c>
      <c r="F12" s="11">
        <v>385.15</v>
      </c>
      <c r="G12" s="36">
        <v>386.7</v>
      </c>
      <c r="H12" s="43">
        <v>215754.55</v>
      </c>
      <c r="I12" s="11">
        <v>0.3729302185776266</v>
      </c>
      <c r="J12" s="32">
        <f t="shared" si="1"/>
        <v>-0.543056633</v>
      </c>
      <c r="K12" s="32">
        <f t="shared" si="2"/>
        <v>-0.4008275149</v>
      </c>
      <c r="L12" s="32">
        <f t="shared" si="3"/>
        <v>-0.4008275149</v>
      </c>
      <c r="N12" s="25"/>
      <c r="P12" s="46"/>
      <c r="Q12" s="2"/>
      <c r="R12" s="14"/>
      <c r="S12" s="17"/>
      <c r="T12" s="17"/>
      <c r="U12" s="17"/>
      <c r="V12" s="2"/>
      <c r="W12" s="2"/>
      <c r="X12" s="2"/>
      <c r="Y12" s="25"/>
      <c r="Z12" s="25"/>
      <c r="AA12" s="25"/>
      <c r="AC12" s="25"/>
    </row>
    <row r="13">
      <c r="A13" s="4" t="s">
        <v>156</v>
      </c>
      <c r="B13" s="44">
        <v>28.0</v>
      </c>
      <c r="C13" s="45">
        <v>390.1</v>
      </c>
      <c r="D13" s="45">
        <v>0.13</v>
      </c>
      <c r="E13" s="11">
        <v>389.0</v>
      </c>
      <c r="F13" s="11">
        <v>389.32</v>
      </c>
      <c r="G13" s="36">
        <v>390.2</v>
      </c>
      <c r="H13" s="43">
        <v>240704.71</v>
      </c>
      <c r="I13" s="11">
        <v>0.34079131409038355</v>
      </c>
      <c r="J13" s="32">
        <f t="shared" si="1"/>
        <v>-0.2819789797</v>
      </c>
      <c r="K13" s="32">
        <f t="shared" si="2"/>
        <v>-0.1999487311</v>
      </c>
      <c r="L13" s="32">
        <f t="shared" si="3"/>
        <v>-0.2255253716</v>
      </c>
      <c r="N13" s="25"/>
      <c r="P13" s="46"/>
      <c r="Q13" s="2"/>
      <c r="R13" s="14"/>
      <c r="S13" s="17"/>
      <c r="T13" s="17"/>
      <c r="U13" s="17"/>
      <c r="V13" s="2"/>
      <c r="W13" s="2"/>
      <c r="X13" s="2"/>
      <c r="Y13" s="25"/>
      <c r="Z13" s="25"/>
      <c r="AA13" s="25"/>
      <c r="AC13" s="25"/>
    </row>
    <row r="14">
      <c r="A14" s="4" t="s">
        <v>156</v>
      </c>
      <c r="B14" s="44">
        <v>30.0</v>
      </c>
      <c r="C14" s="45">
        <v>391.7</v>
      </c>
      <c r="D14" s="45">
        <v>0.14</v>
      </c>
      <c r="E14" s="11">
        <v>390.5</v>
      </c>
      <c r="F14" s="11">
        <v>390.84000000000003</v>
      </c>
      <c r="G14" s="36">
        <v>391.6</v>
      </c>
      <c r="H14" s="43">
        <v>257422.98</v>
      </c>
      <c r="I14" s="11">
        <v>0.3465155905027925</v>
      </c>
      <c r="J14" s="32">
        <f t="shared" si="1"/>
        <v>-0.3063569058</v>
      </c>
      <c r="K14" s="32">
        <f t="shared" si="2"/>
        <v>-0.2195557825</v>
      </c>
      <c r="L14" s="32">
        <f t="shared" si="3"/>
        <v>-0.1940755873</v>
      </c>
      <c r="N14" s="25"/>
      <c r="P14" s="46"/>
      <c r="Q14" s="2"/>
      <c r="R14" s="14"/>
      <c r="S14" s="17"/>
      <c r="T14" s="17"/>
      <c r="U14" s="17"/>
      <c r="V14" s="2"/>
      <c r="W14" s="2"/>
      <c r="X14" s="2"/>
      <c r="Y14" s="25"/>
      <c r="Z14" s="25"/>
      <c r="AA14" s="25"/>
      <c r="AC14" s="25"/>
    </row>
    <row r="15">
      <c r="A15" s="4" t="s">
        <v>156</v>
      </c>
      <c r="B15" s="44">
        <v>34.0</v>
      </c>
      <c r="C15" s="45">
        <v>393.9</v>
      </c>
      <c r="D15" s="45">
        <v>0.16</v>
      </c>
      <c r="E15" s="11">
        <v>393.1</v>
      </c>
      <c r="F15" s="11">
        <v>393.19</v>
      </c>
      <c r="G15" s="36">
        <v>393.8</v>
      </c>
      <c r="H15" s="43">
        <v>280729.11</v>
      </c>
      <c r="I15" s="11">
        <v>0.21695939769627837</v>
      </c>
      <c r="J15" s="32">
        <f t="shared" si="1"/>
        <v>-0.2030972328</v>
      </c>
      <c r="K15" s="32">
        <f t="shared" si="2"/>
        <v>-0.1802487941</v>
      </c>
      <c r="L15" s="32">
        <f t="shared" si="3"/>
        <v>-0.154900965</v>
      </c>
      <c r="N15" s="25"/>
      <c r="P15" s="46"/>
      <c r="Q15" s="2"/>
      <c r="R15" s="14"/>
      <c r="S15" s="17"/>
      <c r="T15" s="17"/>
      <c r="U15" s="17"/>
      <c r="V15" s="2"/>
      <c r="W15" s="2"/>
      <c r="X15" s="2"/>
      <c r="Y15" s="25"/>
      <c r="Z15" s="25"/>
      <c r="AA15" s="25"/>
      <c r="AC15" s="25"/>
    </row>
    <row r="16">
      <c r="A16" s="4" t="s">
        <v>157</v>
      </c>
      <c r="B16" s="44">
        <v>2.0</v>
      </c>
      <c r="C16" s="45">
        <v>125.4</v>
      </c>
      <c r="D16" s="45">
        <v>0.05</v>
      </c>
      <c r="E16" s="11">
        <v>105.4</v>
      </c>
      <c r="F16" s="11">
        <v>106.76</v>
      </c>
      <c r="G16" s="36">
        <v>145.8</v>
      </c>
      <c r="H16" s="43">
        <v>86397.56</v>
      </c>
      <c r="I16" s="11">
        <v>0.747842496768319</v>
      </c>
      <c r="J16" s="32">
        <f t="shared" si="1"/>
        <v>-15.94896332</v>
      </c>
      <c r="K16" s="32">
        <f t="shared" si="2"/>
        <v>-14.86443381</v>
      </c>
      <c r="L16" s="32">
        <f t="shared" si="3"/>
        <v>-26.77640604</v>
      </c>
      <c r="N16" s="25"/>
      <c r="P16" s="46"/>
      <c r="Q16" s="2"/>
      <c r="R16" s="14"/>
      <c r="S16" s="17"/>
      <c r="T16" s="17"/>
      <c r="U16" s="17"/>
      <c r="V16" s="2"/>
      <c r="W16" s="2"/>
      <c r="X16" s="2"/>
      <c r="Y16" s="25"/>
      <c r="Z16" s="25"/>
      <c r="AA16" s="25"/>
      <c r="AC16" s="25"/>
    </row>
    <row r="17">
      <c r="A17" s="4" t="s">
        <v>157</v>
      </c>
      <c r="B17" s="44">
        <v>4.0</v>
      </c>
      <c r="C17" s="45">
        <v>266.4</v>
      </c>
      <c r="D17" s="45">
        <v>0.09</v>
      </c>
      <c r="E17" s="11">
        <v>242.1</v>
      </c>
      <c r="F17" s="11">
        <v>243.77</v>
      </c>
      <c r="G17" s="36">
        <v>270.3</v>
      </c>
      <c r="H17" s="43">
        <v>107903.65</v>
      </c>
      <c r="I17" s="11">
        <v>1.163372282098932</v>
      </c>
      <c r="J17" s="32">
        <f t="shared" si="1"/>
        <v>-9.121621622</v>
      </c>
      <c r="K17" s="32">
        <f t="shared" si="2"/>
        <v>-8.494744745</v>
      </c>
      <c r="L17" s="32">
        <f t="shared" si="3"/>
        <v>-9.815020348</v>
      </c>
      <c r="N17" s="25"/>
      <c r="P17" s="46"/>
      <c r="Q17" s="2"/>
      <c r="R17" s="14"/>
      <c r="S17" s="17"/>
      <c r="T17" s="17"/>
      <c r="U17" s="17"/>
      <c r="V17" s="2"/>
      <c r="W17" s="2"/>
      <c r="X17" s="2"/>
      <c r="Y17" s="25"/>
      <c r="Z17" s="25"/>
      <c r="AA17" s="25"/>
      <c r="AC17" s="25"/>
    </row>
    <row r="18">
      <c r="A18" s="4" t="s">
        <v>157</v>
      </c>
      <c r="B18" s="44">
        <v>6.0</v>
      </c>
      <c r="C18" s="45">
        <v>379.2</v>
      </c>
      <c r="D18" s="45">
        <v>0.12</v>
      </c>
      <c r="E18" s="11">
        <v>360.6</v>
      </c>
      <c r="F18" s="11">
        <v>362.89</v>
      </c>
      <c r="G18" s="36">
        <v>382.4</v>
      </c>
      <c r="H18" s="43">
        <v>130810.75</v>
      </c>
      <c r="I18" s="11">
        <v>1.606538586065461</v>
      </c>
      <c r="J18" s="32">
        <f t="shared" si="1"/>
        <v>-4.905063291</v>
      </c>
      <c r="K18" s="32">
        <f t="shared" si="2"/>
        <v>-4.301160338</v>
      </c>
      <c r="L18" s="32">
        <f t="shared" si="3"/>
        <v>-5.101987448</v>
      </c>
      <c r="N18" s="25"/>
      <c r="P18" s="46"/>
      <c r="Q18" s="2"/>
      <c r="R18" s="14"/>
      <c r="S18" s="17"/>
      <c r="T18" s="17"/>
      <c r="U18" s="17"/>
      <c r="V18" s="2"/>
      <c r="W18" s="2"/>
      <c r="X18" s="2"/>
      <c r="Y18" s="25"/>
      <c r="Z18" s="25"/>
      <c r="AA18" s="25"/>
      <c r="AC18" s="25"/>
    </row>
    <row r="19">
      <c r="A19" s="4" t="s">
        <v>157</v>
      </c>
      <c r="B19" s="44">
        <v>8.0</v>
      </c>
      <c r="C19" s="45">
        <v>452.6</v>
      </c>
      <c r="D19" s="45">
        <v>0.14</v>
      </c>
      <c r="E19" s="11">
        <v>437.1</v>
      </c>
      <c r="F19" s="11">
        <v>439.18</v>
      </c>
      <c r="G19" s="36">
        <v>453.0</v>
      </c>
      <c r="H19" s="43">
        <v>154916.02</v>
      </c>
      <c r="I19" s="11">
        <v>1.2407743891703074</v>
      </c>
      <c r="J19" s="32">
        <f t="shared" si="1"/>
        <v>-3.424657534</v>
      </c>
      <c r="K19" s="32">
        <f t="shared" si="2"/>
        <v>-2.965090588</v>
      </c>
      <c r="L19" s="32">
        <f t="shared" si="3"/>
        <v>-3.050772627</v>
      </c>
      <c r="N19" s="25"/>
      <c r="P19" s="46"/>
      <c r="Q19" s="2"/>
      <c r="R19" s="14"/>
      <c r="S19" s="17"/>
      <c r="T19" s="17"/>
      <c r="U19" s="17"/>
      <c r="V19" s="2"/>
      <c r="W19" s="2"/>
      <c r="X19" s="2"/>
      <c r="Y19" s="25"/>
      <c r="Z19" s="25"/>
      <c r="AA19" s="25"/>
      <c r="AC19" s="25"/>
    </row>
    <row r="20">
      <c r="A20" s="4" t="s">
        <v>157</v>
      </c>
      <c r="B20" s="44">
        <v>10.0</v>
      </c>
      <c r="C20" s="45">
        <v>494.5</v>
      </c>
      <c r="D20" s="45">
        <v>0.15</v>
      </c>
      <c r="E20" s="11">
        <v>484.1</v>
      </c>
      <c r="F20" s="11">
        <v>486.01</v>
      </c>
      <c r="G20" s="36">
        <v>494.6</v>
      </c>
      <c r="H20" s="43">
        <v>175711.94</v>
      </c>
      <c r="I20" s="11">
        <v>1.1988546232880002</v>
      </c>
      <c r="J20" s="32">
        <f t="shared" si="1"/>
        <v>-2.103134479</v>
      </c>
      <c r="K20" s="32">
        <f t="shared" si="2"/>
        <v>-1.716885743</v>
      </c>
      <c r="L20" s="32">
        <f t="shared" si="3"/>
        <v>-1.736756975</v>
      </c>
      <c r="N20" s="25"/>
      <c r="P20" s="46"/>
      <c r="Q20" s="2"/>
      <c r="R20" s="14"/>
      <c r="S20" s="17"/>
      <c r="T20" s="17"/>
      <c r="U20" s="17"/>
      <c r="V20" s="2"/>
      <c r="W20" s="2"/>
      <c r="X20" s="2"/>
      <c r="Y20" s="25"/>
      <c r="Z20" s="25"/>
      <c r="AA20" s="25"/>
      <c r="AC20" s="25"/>
    </row>
    <row r="21">
      <c r="A21" s="4" t="s">
        <v>157</v>
      </c>
      <c r="B21" s="44">
        <v>14.0</v>
      </c>
      <c r="C21" s="45">
        <v>540.1</v>
      </c>
      <c r="D21" s="45">
        <v>0.17</v>
      </c>
      <c r="E21" s="11">
        <v>532.6</v>
      </c>
      <c r="F21" s="11">
        <v>533.91</v>
      </c>
      <c r="G21" s="36">
        <v>538.6</v>
      </c>
      <c r="H21" s="43">
        <v>222805.61</v>
      </c>
      <c r="I21" s="11">
        <v>0.9680020374021528</v>
      </c>
      <c r="J21" s="32">
        <f t="shared" si="1"/>
        <v>-1.388631735</v>
      </c>
      <c r="K21" s="32">
        <f t="shared" si="2"/>
        <v>-1.146084059</v>
      </c>
      <c r="L21" s="32">
        <f t="shared" si="3"/>
        <v>-0.8707760861</v>
      </c>
      <c r="N21" s="25"/>
      <c r="P21" s="46"/>
      <c r="Q21" s="2"/>
      <c r="R21" s="14"/>
      <c r="S21" s="17"/>
      <c r="T21" s="17"/>
      <c r="U21" s="17"/>
      <c r="V21" s="2"/>
      <c r="W21" s="2"/>
      <c r="X21" s="2"/>
      <c r="Y21" s="25"/>
      <c r="Z21" s="25"/>
      <c r="AA21" s="25"/>
      <c r="AC21" s="25"/>
    </row>
    <row r="22">
      <c r="A22" s="4" t="s">
        <v>157</v>
      </c>
      <c r="B22" s="44">
        <v>18.0</v>
      </c>
      <c r="C22" s="45">
        <v>562.0</v>
      </c>
      <c r="D22" s="45">
        <v>0.19</v>
      </c>
      <c r="E22" s="11">
        <v>557.3</v>
      </c>
      <c r="F22" s="11">
        <v>558.56</v>
      </c>
      <c r="G22" s="36">
        <v>562.1</v>
      </c>
      <c r="H22" s="43">
        <v>265490.16</v>
      </c>
      <c r="I22" s="11">
        <v>0.7404416913583715</v>
      </c>
      <c r="J22" s="32">
        <f t="shared" si="1"/>
        <v>-0.8362989324</v>
      </c>
      <c r="K22" s="32">
        <f t="shared" si="2"/>
        <v>-0.6120996441</v>
      </c>
      <c r="L22" s="32">
        <f t="shared" si="3"/>
        <v>-0.6297811777</v>
      </c>
      <c r="N22" s="25"/>
      <c r="P22" s="46"/>
      <c r="Q22" s="2"/>
      <c r="R22" s="14"/>
      <c r="S22" s="17"/>
      <c r="T22" s="17"/>
      <c r="U22" s="17"/>
      <c r="V22" s="2"/>
      <c r="W22" s="2"/>
      <c r="X22" s="2"/>
      <c r="Y22" s="25"/>
      <c r="Z22" s="25"/>
      <c r="AA22" s="25"/>
      <c r="AC22" s="25"/>
    </row>
    <row r="23">
      <c r="A23" s="4" t="s">
        <v>157</v>
      </c>
      <c r="B23" s="44">
        <v>20.0</v>
      </c>
      <c r="C23" s="45">
        <v>569.9</v>
      </c>
      <c r="D23" s="45">
        <v>0.2</v>
      </c>
      <c r="E23" s="11">
        <v>565.5</v>
      </c>
      <c r="F23" s="11">
        <v>566.7</v>
      </c>
      <c r="G23" s="36">
        <v>569.4</v>
      </c>
      <c r="H23" s="43">
        <v>285479.52999999997</v>
      </c>
      <c r="I23" s="11">
        <v>0.7498266056610738</v>
      </c>
      <c r="J23" s="32">
        <f t="shared" si="1"/>
        <v>-0.7720652746</v>
      </c>
      <c r="K23" s="32">
        <f t="shared" si="2"/>
        <v>-0.5615020179</v>
      </c>
      <c r="L23" s="32">
        <f t="shared" si="3"/>
        <v>-0.4741833509</v>
      </c>
      <c r="N23" s="25"/>
      <c r="P23" s="46"/>
      <c r="Q23" s="2"/>
      <c r="R23" s="14"/>
      <c r="S23" s="17"/>
      <c r="T23" s="17"/>
      <c r="U23" s="17"/>
      <c r="V23" s="2"/>
      <c r="W23" s="2"/>
      <c r="X23" s="2"/>
      <c r="Y23" s="25"/>
      <c r="Z23" s="25"/>
      <c r="AA23" s="25"/>
      <c r="AC23" s="25"/>
    </row>
    <row r="24">
      <c r="A24" s="4" t="s">
        <v>157</v>
      </c>
      <c r="B24" s="44">
        <v>24.0</v>
      </c>
      <c r="C24" s="45">
        <v>577.3</v>
      </c>
      <c r="D24" s="45">
        <v>0.23</v>
      </c>
      <c r="E24" s="11">
        <v>575.6</v>
      </c>
      <c r="F24" s="11">
        <v>576.75</v>
      </c>
      <c r="G24" s="36">
        <v>577.3</v>
      </c>
      <c r="H24" s="43">
        <v>325916.51</v>
      </c>
      <c r="I24" s="11">
        <v>0.66938568151061</v>
      </c>
      <c r="J24" s="32">
        <f t="shared" si="1"/>
        <v>-0.2944742768</v>
      </c>
      <c r="K24" s="32">
        <f t="shared" si="2"/>
        <v>-0.09527108955</v>
      </c>
      <c r="L24" s="32">
        <f t="shared" si="3"/>
        <v>-0.09527108955</v>
      </c>
      <c r="N24" s="25"/>
      <c r="P24" s="46"/>
      <c r="Q24" s="2"/>
      <c r="R24" s="14"/>
      <c r="S24" s="17"/>
      <c r="T24" s="17"/>
      <c r="U24" s="17"/>
      <c r="V24" s="2"/>
      <c r="W24" s="2"/>
      <c r="X24" s="2"/>
      <c r="Y24" s="25"/>
      <c r="Z24" s="25"/>
      <c r="AA24" s="25"/>
      <c r="AC24" s="25"/>
    </row>
    <row r="25">
      <c r="A25" s="4" t="s">
        <v>157</v>
      </c>
      <c r="B25" s="44">
        <v>28.0</v>
      </c>
      <c r="C25" s="45">
        <v>584.2</v>
      </c>
      <c r="D25" s="45">
        <v>0.26</v>
      </c>
      <c r="E25" s="11">
        <v>582.7</v>
      </c>
      <c r="F25" s="11">
        <v>583.25</v>
      </c>
      <c r="G25" s="36">
        <v>584.8</v>
      </c>
      <c r="H25" s="43">
        <v>372306.81</v>
      </c>
      <c r="I25" s="11">
        <v>0.4696402752040236</v>
      </c>
      <c r="J25" s="32">
        <f t="shared" si="1"/>
        <v>-0.2567613831</v>
      </c>
      <c r="K25" s="32">
        <f t="shared" si="2"/>
        <v>-0.1626155426</v>
      </c>
      <c r="L25" s="32">
        <f t="shared" si="3"/>
        <v>-0.2650478796</v>
      </c>
      <c r="N25" s="25"/>
      <c r="P25" s="46"/>
      <c r="Q25" s="2"/>
      <c r="R25" s="14"/>
      <c r="S25" s="17"/>
      <c r="T25" s="17"/>
      <c r="U25" s="17"/>
      <c r="V25" s="2"/>
      <c r="W25" s="2"/>
      <c r="X25" s="2"/>
      <c r="Y25" s="25"/>
      <c r="Z25" s="25"/>
      <c r="AA25" s="25"/>
      <c r="AC25" s="25"/>
    </row>
    <row r="26">
      <c r="A26" s="4" t="s">
        <v>157</v>
      </c>
      <c r="B26" s="44">
        <v>30.0</v>
      </c>
      <c r="C26" s="45">
        <v>586.6</v>
      </c>
      <c r="D26" s="45">
        <v>0.27</v>
      </c>
      <c r="E26" s="11">
        <v>584.6</v>
      </c>
      <c r="F26" s="11">
        <v>585.49</v>
      </c>
      <c r="G26" s="36">
        <v>586.1</v>
      </c>
      <c r="H26" s="43">
        <v>390996.86</v>
      </c>
      <c r="I26" s="11">
        <v>0.5458471488689641</v>
      </c>
      <c r="J26" s="32">
        <f t="shared" si="1"/>
        <v>-0.340947835</v>
      </c>
      <c r="K26" s="32">
        <f t="shared" si="2"/>
        <v>-0.1892260484</v>
      </c>
      <c r="L26" s="32">
        <f t="shared" si="3"/>
        <v>-0.1040778024</v>
      </c>
      <c r="N26" s="25"/>
      <c r="P26" s="46"/>
      <c r="Q26" s="2"/>
      <c r="R26" s="14"/>
      <c r="S26" s="17"/>
      <c r="T26" s="17"/>
      <c r="U26" s="17"/>
      <c r="V26" s="2"/>
      <c r="W26" s="2"/>
      <c r="X26" s="2"/>
      <c r="Y26" s="25"/>
      <c r="Z26" s="25"/>
      <c r="AA26" s="25"/>
      <c r="AC26" s="25"/>
    </row>
    <row r="27">
      <c r="A27" s="4" t="s">
        <v>157</v>
      </c>
      <c r="B27" s="44">
        <v>34.0</v>
      </c>
      <c r="C27" s="45">
        <v>590.0</v>
      </c>
      <c r="D27" s="45">
        <v>0.3</v>
      </c>
      <c r="E27" s="11">
        <v>588.4</v>
      </c>
      <c r="F27" s="11">
        <v>588.99</v>
      </c>
      <c r="G27" s="36">
        <v>590.3</v>
      </c>
      <c r="H27" s="43">
        <v>432115.53</v>
      </c>
      <c r="I27" s="11">
        <v>0.429368157519144</v>
      </c>
      <c r="J27" s="32">
        <f t="shared" si="1"/>
        <v>-0.2711864407</v>
      </c>
      <c r="K27" s="32">
        <f t="shared" si="2"/>
        <v>-0.1711864407</v>
      </c>
      <c r="L27" s="32">
        <f t="shared" si="3"/>
        <v>-0.2219210571</v>
      </c>
      <c r="N27" s="25"/>
      <c r="P27" s="46"/>
      <c r="Q27" s="2"/>
      <c r="R27" s="14"/>
      <c r="S27" s="17"/>
      <c r="T27" s="17"/>
      <c r="U27" s="17"/>
      <c r="V27" s="2"/>
      <c r="W27" s="2"/>
      <c r="X27" s="2"/>
      <c r="Y27" s="25"/>
      <c r="Z27" s="25"/>
      <c r="AA27" s="25"/>
      <c r="AC27" s="25"/>
    </row>
    <row r="28">
      <c r="A28" s="4" t="s">
        <v>157</v>
      </c>
      <c r="B28" s="44">
        <v>38.0</v>
      </c>
      <c r="C28" s="45">
        <v>591.6</v>
      </c>
      <c r="D28" s="45">
        <v>0.34</v>
      </c>
      <c r="E28" s="11">
        <v>590.9</v>
      </c>
      <c r="F28" s="11">
        <v>591.35</v>
      </c>
      <c r="G28" s="36">
        <v>591.8</v>
      </c>
      <c r="H28" s="43">
        <v>469844.16</v>
      </c>
      <c r="I28" s="11">
        <v>0.4446003605617964</v>
      </c>
      <c r="J28" s="32">
        <f t="shared" si="1"/>
        <v>-0.1183231913</v>
      </c>
      <c r="K28" s="32">
        <f t="shared" si="2"/>
        <v>-0.04225828262</v>
      </c>
      <c r="L28" s="32">
        <f t="shared" si="3"/>
        <v>-0.07603920243</v>
      </c>
      <c r="N28" s="25"/>
      <c r="P28" s="46"/>
      <c r="Q28" s="2"/>
      <c r="R28" s="14"/>
      <c r="S28" s="17"/>
      <c r="T28" s="17"/>
      <c r="U28" s="17"/>
      <c r="V28" s="2"/>
      <c r="W28" s="2"/>
      <c r="X28" s="2"/>
      <c r="Y28" s="25"/>
      <c r="Z28" s="25"/>
      <c r="AA28" s="25"/>
      <c r="AC28" s="25"/>
    </row>
    <row r="29">
      <c r="A29" s="4" t="s">
        <v>157</v>
      </c>
      <c r="B29" s="44">
        <v>40.0</v>
      </c>
      <c r="C29" s="45">
        <v>592.9</v>
      </c>
      <c r="D29" s="45">
        <v>0.36</v>
      </c>
      <c r="E29" s="11">
        <v>592.0</v>
      </c>
      <c r="F29" s="11">
        <v>592.32</v>
      </c>
      <c r="G29" s="36">
        <v>592.7</v>
      </c>
      <c r="H29" s="43">
        <v>491597.52</v>
      </c>
      <c r="I29" s="11">
        <v>0.4201833206985398</v>
      </c>
      <c r="J29" s="32">
        <f t="shared" si="1"/>
        <v>-0.1517962557</v>
      </c>
      <c r="K29" s="32">
        <f t="shared" si="2"/>
        <v>-0.09782425367</v>
      </c>
      <c r="L29" s="32">
        <f t="shared" si="3"/>
        <v>-0.06411337945</v>
      </c>
      <c r="N29" s="25"/>
      <c r="P29" s="46"/>
      <c r="Q29" s="2"/>
      <c r="R29" s="14"/>
      <c r="S29" s="17"/>
      <c r="T29" s="17"/>
      <c r="U29" s="17"/>
      <c r="V29" s="2"/>
      <c r="W29" s="2"/>
      <c r="X29" s="2"/>
      <c r="Y29" s="25"/>
      <c r="Z29" s="25"/>
      <c r="AA29" s="25"/>
      <c r="AC29" s="25"/>
    </row>
    <row r="30">
      <c r="A30" s="4" t="s">
        <v>158</v>
      </c>
      <c r="B30" s="44">
        <v>2.0</v>
      </c>
      <c r="C30" s="45">
        <v>161.5</v>
      </c>
      <c r="D30" s="45">
        <v>0.09</v>
      </c>
      <c r="E30" s="11">
        <v>136.1</v>
      </c>
      <c r="F30" s="11">
        <v>137.81</v>
      </c>
      <c r="G30" s="36">
        <v>190.4</v>
      </c>
      <c r="H30" s="43">
        <v>116853.39</v>
      </c>
      <c r="I30" s="11">
        <v>1.1622031146978997</v>
      </c>
      <c r="J30" s="32">
        <f t="shared" si="1"/>
        <v>-15.72755418</v>
      </c>
      <c r="K30" s="32">
        <f t="shared" si="2"/>
        <v>-14.66873065</v>
      </c>
      <c r="L30" s="32">
        <f t="shared" si="3"/>
        <v>-27.62079832</v>
      </c>
      <c r="N30" s="25"/>
      <c r="P30" s="46"/>
      <c r="Q30" s="2"/>
      <c r="R30" s="14"/>
      <c r="S30" s="17"/>
      <c r="T30" s="17"/>
      <c r="U30" s="17"/>
      <c r="V30" s="2"/>
      <c r="W30" s="2"/>
      <c r="X30" s="2"/>
      <c r="Y30" s="25"/>
      <c r="Z30" s="25"/>
      <c r="AA30" s="25"/>
      <c r="AC30" s="25"/>
    </row>
    <row r="31">
      <c r="A31" s="4" t="s">
        <v>158</v>
      </c>
      <c r="B31" s="44">
        <v>4.0</v>
      </c>
      <c r="C31" s="45">
        <v>354.7</v>
      </c>
      <c r="D31" s="45">
        <v>0.15</v>
      </c>
      <c r="E31" s="11">
        <v>321.3</v>
      </c>
      <c r="F31" s="11">
        <v>323.84</v>
      </c>
      <c r="G31" s="36">
        <v>364.0</v>
      </c>
      <c r="H31" s="43">
        <v>147682.73</v>
      </c>
      <c r="I31" s="11">
        <v>1.6361143097858357</v>
      </c>
      <c r="J31" s="32">
        <f t="shared" si="1"/>
        <v>-9.416408232</v>
      </c>
      <c r="K31" s="32">
        <f t="shared" si="2"/>
        <v>-8.700310121</v>
      </c>
      <c r="L31" s="32">
        <f t="shared" si="3"/>
        <v>-11.03296703</v>
      </c>
      <c r="N31" s="25"/>
      <c r="P31" s="46"/>
      <c r="Q31" s="2"/>
      <c r="R31" s="14"/>
      <c r="S31" s="17"/>
      <c r="T31" s="17"/>
      <c r="U31" s="17"/>
      <c r="V31" s="2"/>
      <c r="W31" s="2"/>
      <c r="X31" s="2"/>
      <c r="Y31" s="25"/>
      <c r="Z31" s="25"/>
      <c r="AA31" s="25"/>
      <c r="AC31" s="25"/>
    </row>
    <row r="32">
      <c r="A32" s="4" t="s">
        <v>158</v>
      </c>
      <c r="B32" s="44">
        <v>6.0</v>
      </c>
      <c r="C32" s="45">
        <v>504.2</v>
      </c>
      <c r="D32" s="45">
        <v>0.2</v>
      </c>
      <c r="E32" s="11">
        <v>478.8</v>
      </c>
      <c r="F32" s="11">
        <v>481.84000000000003</v>
      </c>
      <c r="G32" s="36">
        <v>605.3</v>
      </c>
      <c r="H32" s="43">
        <v>177455.41</v>
      </c>
      <c r="I32" s="11">
        <v>1.8818056028460233</v>
      </c>
      <c r="J32" s="32">
        <f t="shared" si="1"/>
        <v>-5.037683459</v>
      </c>
      <c r="K32" s="32">
        <f t="shared" si="2"/>
        <v>-4.434748116</v>
      </c>
      <c r="L32" s="32">
        <f t="shared" si="3"/>
        <v>-20.3964976</v>
      </c>
      <c r="N32" s="25"/>
      <c r="P32" s="46"/>
      <c r="Q32" s="2"/>
      <c r="R32" s="14"/>
      <c r="S32" s="17"/>
      <c r="T32" s="17"/>
      <c r="U32" s="17"/>
      <c r="V32" s="2"/>
      <c r="W32" s="2"/>
      <c r="X32" s="2"/>
      <c r="Y32" s="25"/>
      <c r="Z32" s="25"/>
      <c r="AA32" s="25"/>
      <c r="AC32" s="25"/>
    </row>
    <row r="33">
      <c r="A33" s="4" t="s">
        <v>158</v>
      </c>
      <c r="B33" s="44">
        <v>8.0</v>
      </c>
      <c r="C33" s="45">
        <v>596.6</v>
      </c>
      <c r="D33" s="45">
        <v>0.22</v>
      </c>
      <c r="E33" s="11">
        <v>580.7</v>
      </c>
      <c r="F33" s="11">
        <v>583.4</v>
      </c>
      <c r="G33" s="36">
        <v>599.6</v>
      </c>
      <c r="H33" s="43">
        <v>208357.85</v>
      </c>
      <c r="I33" s="11">
        <v>1.7435235184088118</v>
      </c>
      <c r="J33" s="32">
        <f t="shared" si="1"/>
        <v>-2.665102246</v>
      </c>
      <c r="K33" s="32">
        <f t="shared" si="2"/>
        <v>-2.212537714</v>
      </c>
      <c r="L33" s="32">
        <f t="shared" si="3"/>
        <v>-2.701801201</v>
      </c>
      <c r="N33" s="25"/>
      <c r="P33" s="46"/>
      <c r="Q33" s="2"/>
      <c r="R33" s="14"/>
      <c r="S33" s="17"/>
      <c r="T33" s="17"/>
      <c r="U33" s="17"/>
      <c r="V33" s="2"/>
      <c r="W33" s="2"/>
      <c r="X33" s="2"/>
      <c r="Y33" s="25"/>
      <c r="Z33" s="25"/>
      <c r="AA33" s="25"/>
      <c r="AC33" s="25"/>
    </row>
    <row r="34">
      <c r="A34" s="4" t="s">
        <v>158</v>
      </c>
      <c r="B34" s="44">
        <v>10.0</v>
      </c>
      <c r="C34" s="45">
        <v>658.5</v>
      </c>
      <c r="D34" s="45">
        <v>0.25</v>
      </c>
      <c r="E34" s="11">
        <v>646.2</v>
      </c>
      <c r="F34" s="11">
        <v>648.59</v>
      </c>
      <c r="G34" s="36">
        <v>658.4</v>
      </c>
      <c r="H34" s="43">
        <v>239507.91</v>
      </c>
      <c r="I34" s="11">
        <v>1.476261183365715</v>
      </c>
      <c r="J34" s="32">
        <f t="shared" si="1"/>
        <v>-1.867881549</v>
      </c>
      <c r="K34" s="32">
        <f t="shared" si="2"/>
        <v>-1.504935459</v>
      </c>
      <c r="L34" s="32">
        <f t="shared" si="3"/>
        <v>-1.489975699</v>
      </c>
      <c r="N34" s="25"/>
      <c r="P34" s="46"/>
      <c r="Q34" s="2"/>
      <c r="R34" s="14"/>
      <c r="S34" s="17"/>
      <c r="T34" s="17"/>
      <c r="U34" s="17"/>
      <c r="V34" s="2"/>
      <c r="W34" s="2"/>
      <c r="X34" s="2"/>
      <c r="Y34" s="25"/>
      <c r="Z34" s="25"/>
      <c r="AA34" s="25"/>
      <c r="AC34" s="25"/>
    </row>
    <row r="35">
      <c r="A35" s="4" t="s">
        <v>158</v>
      </c>
      <c r="B35" s="44">
        <v>14.0</v>
      </c>
      <c r="C35" s="45">
        <v>720.5</v>
      </c>
      <c r="D35" s="45">
        <v>0.28</v>
      </c>
      <c r="E35" s="11">
        <v>711.3</v>
      </c>
      <c r="F35" s="11">
        <v>713.79</v>
      </c>
      <c r="G35" s="36">
        <v>720.3</v>
      </c>
      <c r="H35" s="43">
        <v>300491.26</v>
      </c>
      <c r="I35" s="11">
        <v>1.2907915913342431</v>
      </c>
      <c r="J35" s="32">
        <f t="shared" si="1"/>
        <v>-1.276891048</v>
      </c>
      <c r="K35" s="32">
        <f t="shared" si="2"/>
        <v>-0.9312977099</v>
      </c>
      <c r="L35" s="32">
        <f t="shared" si="3"/>
        <v>-0.9037900875</v>
      </c>
      <c r="N35" s="25"/>
      <c r="P35" s="46"/>
      <c r="Q35" s="2"/>
      <c r="R35" s="14"/>
      <c r="S35" s="17"/>
      <c r="T35" s="17"/>
      <c r="U35" s="17"/>
      <c r="V35" s="2"/>
      <c r="W35" s="2"/>
      <c r="X35" s="2"/>
      <c r="Y35" s="25"/>
      <c r="Z35" s="25"/>
      <c r="AA35" s="25"/>
      <c r="AC35" s="25"/>
    </row>
    <row r="36">
      <c r="A36" s="4" t="s">
        <v>158</v>
      </c>
      <c r="B36" s="44">
        <v>18.0</v>
      </c>
      <c r="C36" s="45">
        <v>749.8</v>
      </c>
      <c r="D36" s="45">
        <v>0.32</v>
      </c>
      <c r="E36" s="11">
        <v>743.5</v>
      </c>
      <c r="F36" s="11">
        <v>745.19</v>
      </c>
      <c r="G36" s="36">
        <v>748.7</v>
      </c>
      <c r="H36" s="43">
        <v>357065.18</v>
      </c>
      <c r="I36" s="11">
        <v>1.0169514176765047</v>
      </c>
      <c r="J36" s="32">
        <f t="shared" si="1"/>
        <v>-0.8402240597</v>
      </c>
      <c r="K36" s="32">
        <f t="shared" si="2"/>
        <v>-0.6148306215</v>
      </c>
      <c r="L36" s="32">
        <f t="shared" si="3"/>
        <v>-0.4688126085</v>
      </c>
      <c r="N36" s="25"/>
      <c r="P36" s="46"/>
      <c r="Q36" s="2"/>
      <c r="R36" s="14"/>
      <c r="S36" s="17"/>
      <c r="T36" s="17"/>
      <c r="U36" s="17"/>
      <c r="V36" s="2"/>
      <c r="W36" s="2"/>
      <c r="X36" s="2"/>
      <c r="Y36" s="25"/>
      <c r="Z36" s="25"/>
      <c r="AA36" s="25"/>
      <c r="AC36" s="25"/>
    </row>
    <row r="37">
      <c r="A37" s="4" t="s">
        <v>158</v>
      </c>
      <c r="B37" s="44">
        <v>20.0</v>
      </c>
      <c r="C37" s="45">
        <v>758.4</v>
      </c>
      <c r="D37" s="45">
        <v>0.34</v>
      </c>
      <c r="E37" s="11">
        <v>753.8</v>
      </c>
      <c r="F37" s="11">
        <v>755.45</v>
      </c>
      <c r="G37" s="36">
        <v>757.8</v>
      </c>
      <c r="H37" s="43">
        <v>386967.56</v>
      </c>
      <c r="I37" s="11">
        <v>0.9319785700940802</v>
      </c>
      <c r="J37" s="32">
        <f t="shared" si="1"/>
        <v>-0.6065400844</v>
      </c>
      <c r="K37" s="32">
        <f t="shared" si="2"/>
        <v>-0.3889767932</v>
      </c>
      <c r="L37" s="32">
        <f t="shared" si="3"/>
        <v>-0.310108208</v>
      </c>
      <c r="N37" s="25"/>
      <c r="P37" s="46"/>
      <c r="Q37" s="2"/>
      <c r="R37" s="14"/>
      <c r="S37" s="17"/>
      <c r="T37" s="17"/>
      <c r="U37" s="17"/>
      <c r="V37" s="2"/>
      <c r="W37" s="2"/>
      <c r="X37" s="2"/>
      <c r="Y37" s="25"/>
      <c r="Z37" s="25"/>
      <c r="AA37" s="25"/>
      <c r="AC37" s="25"/>
    </row>
    <row r="38">
      <c r="A38" s="4" t="s">
        <v>158</v>
      </c>
      <c r="B38" s="44">
        <v>24.0</v>
      </c>
      <c r="C38" s="45">
        <v>770.6</v>
      </c>
      <c r="D38" s="45">
        <v>0.37</v>
      </c>
      <c r="E38" s="11">
        <v>767.6</v>
      </c>
      <c r="F38" s="11">
        <v>768.74</v>
      </c>
      <c r="G38" s="36">
        <v>770.5</v>
      </c>
      <c r="H38" s="43">
        <v>444609.61</v>
      </c>
      <c r="I38" s="11">
        <v>0.7368438712450696</v>
      </c>
      <c r="J38" s="32">
        <f t="shared" si="1"/>
        <v>-0.3893070335</v>
      </c>
      <c r="K38" s="32">
        <f t="shared" si="2"/>
        <v>-0.2413703608</v>
      </c>
      <c r="L38" s="32">
        <f t="shared" si="3"/>
        <v>-0.2284231019</v>
      </c>
      <c r="N38" s="25"/>
      <c r="P38" s="46"/>
      <c r="Q38" s="2"/>
      <c r="R38" s="14"/>
      <c r="S38" s="17"/>
      <c r="T38" s="17"/>
      <c r="U38" s="17"/>
      <c r="V38" s="2"/>
      <c r="W38" s="2"/>
      <c r="X38" s="2"/>
      <c r="Y38" s="25"/>
      <c r="Z38" s="25"/>
      <c r="AA38" s="25"/>
      <c r="AC38" s="25"/>
    </row>
    <row r="39">
      <c r="A39" s="4" t="s">
        <v>158</v>
      </c>
      <c r="B39" s="44">
        <v>28.0</v>
      </c>
      <c r="C39" s="45">
        <v>778.0</v>
      </c>
      <c r="D39" s="45">
        <v>0.42</v>
      </c>
      <c r="E39" s="11">
        <v>776.5</v>
      </c>
      <c r="F39" s="11">
        <v>777.58</v>
      </c>
      <c r="G39" s="36">
        <v>778.4</v>
      </c>
      <c r="H39" s="43">
        <v>505387.26</v>
      </c>
      <c r="I39" s="11">
        <v>0.6952458467023869</v>
      </c>
      <c r="J39" s="32">
        <f t="shared" si="1"/>
        <v>-0.1928020566</v>
      </c>
      <c r="K39" s="32">
        <f t="shared" si="2"/>
        <v>-0.05398457584</v>
      </c>
      <c r="L39" s="32">
        <f t="shared" si="3"/>
        <v>-0.105344296</v>
      </c>
      <c r="N39" s="25"/>
      <c r="P39" s="46"/>
      <c r="Q39" s="2"/>
      <c r="R39" s="14"/>
      <c r="S39" s="17"/>
      <c r="T39" s="17"/>
      <c r="U39" s="17"/>
      <c r="V39" s="2"/>
      <c r="W39" s="2"/>
      <c r="X39" s="2"/>
      <c r="Y39" s="25"/>
      <c r="Z39" s="25"/>
      <c r="AA39" s="25"/>
      <c r="AC39" s="25"/>
    </row>
    <row r="40">
      <c r="A40" s="4" t="s">
        <v>158</v>
      </c>
      <c r="B40" s="44">
        <v>30.0</v>
      </c>
      <c r="C40" s="45">
        <v>781.2</v>
      </c>
      <c r="D40" s="45">
        <v>0.44</v>
      </c>
      <c r="E40" s="11">
        <v>779.7</v>
      </c>
      <c r="F40" s="11">
        <v>780.63</v>
      </c>
      <c r="G40" s="36">
        <v>781.1</v>
      </c>
      <c r="H40" s="43">
        <v>532392.49</v>
      </c>
      <c r="I40" s="11">
        <v>0.6054365595563445</v>
      </c>
      <c r="J40" s="32">
        <f t="shared" si="1"/>
        <v>-0.1920122888</v>
      </c>
      <c r="K40" s="32">
        <f t="shared" si="2"/>
        <v>-0.07296466974</v>
      </c>
      <c r="L40" s="32">
        <f t="shared" si="3"/>
        <v>-0.06017155294</v>
      </c>
      <c r="N40" s="25"/>
      <c r="P40" s="46"/>
      <c r="Q40" s="2"/>
      <c r="R40" s="14"/>
      <c r="S40" s="17"/>
      <c r="T40" s="17"/>
      <c r="U40" s="17"/>
      <c r="V40" s="2"/>
      <c r="W40" s="2"/>
      <c r="X40" s="2"/>
      <c r="Y40" s="25"/>
      <c r="Z40" s="25"/>
      <c r="AA40" s="25"/>
      <c r="AC40" s="25"/>
    </row>
    <row r="41">
      <c r="A41" s="4" t="s">
        <v>158</v>
      </c>
      <c r="B41" s="44">
        <v>34.0</v>
      </c>
      <c r="C41" s="45">
        <v>785.3</v>
      </c>
      <c r="D41" s="45">
        <v>0.49</v>
      </c>
      <c r="E41" s="11">
        <v>784.4</v>
      </c>
      <c r="F41" s="11">
        <v>785.09</v>
      </c>
      <c r="G41" s="36">
        <v>785.3</v>
      </c>
      <c r="H41" s="43">
        <v>586210.0</v>
      </c>
      <c r="I41" s="11">
        <v>0.5544195813794234</v>
      </c>
      <c r="J41" s="32">
        <f t="shared" si="1"/>
        <v>-0.1146058831</v>
      </c>
      <c r="K41" s="32">
        <f t="shared" si="2"/>
        <v>-0.02674137272</v>
      </c>
      <c r="L41" s="32">
        <f t="shared" si="3"/>
        <v>-0.02674137272</v>
      </c>
      <c r="N41" s="25"/>
      <c r="P41" s="46"/>
      <c r="Q41" s="2"/>
      <c r="R41" s="14"/>
      <c r="S41" s="17"/>
      <c r="T41" s="17"/>
      <c r="U41" s="17"/>
      <c r="V41" s="2"/>
      <c r="W41" s="2"/>
      <c r="X41" s="2"/>
      <c r="Y41" s="25"/>
      <c r="Z41" s="25"/>
      <c r="AA41" s="25"/>
      <c r="AC41" s="25"/>
    </row>
    <row r="42">
      <c r="A42" s="4" t="s">
        <v>158</v>
      </c>
      <c r="B42" s="44">
        <v>38.0</v>
      </c>
      <c r="C42" s="45">
        <v>788.9</v>
      </c>
      <c r="D42" s="45">
        <v>0.53</v>
      </c>
      <c r="E42" s="11">
        <v>787.4</v>
      </c>
      <c r="F42" s="11">
        <v>788.06</v>
      </c>
      <c r="G42" s="36">
        <v>788.8</v>
      </c>
      <c r="H42" s="43">
        <v>647025.3200000001</v>
      </c>
      <c r="I42" s="11">
        <v>0.5603149688762958</v>
      </c>
      <c r="J42" s="32">
        <f t="shared" si="1"/>
        <v>-0.1901381671</v>
      </c>
      <c r="K42" s="32">
        <f t="shared" si="2"/>
        <v>-0.1064773736</v>
      </c>
      <c r="L42" s="32">
        <f t="shared" si="3"/>
        <v>-0.09381338742</v>
      </c>
      <c r="N42" s="25"/>
      <c r="P42" s="46"/>
      <c r="Q42" s="2"/>
      <c r="R42" s="14"/>
      <c r="S42" s="17"/>
      <c r="T42" s="17"/>
      <c r="U42" s="17"/>
      <c r="V42" s="2"/>
      <c r="W42" s="2"/>
      <c r="X42" s="2"/>
      <c r="Y42" s="25"/>
      <c r="Z42" s="25"/>
      <c r="AA42" s="25"/>
      <c r="AC42" s="25"/>
    </row>
    <row r="43">
      <c r="A43" s="4" t="s">
        <v>158</v>
      </c>
      <c r="B43" s="44">
        <v>40.0</v>
      </c>
      <c r="C43" s="45">
        <v>789.8</v>
      </c>
      <c r="D43" s="45">
        <v>0.57</v>
      </c>
      <c r="E43" s="11">
        <v>788.8</v>
      </c>
      <c r="F43" s="11">
        <v>789.74</v>
      </c>
      <c r="G43" s="36">
        <v>789.9</v>
      </c>
      <c r="H43" s="43">
        <v>674815.42</v>
      </c>
      <c r="I43" s="11">
        <v>0.49899535535130357</v>
      </c>
      <c r="J43" s="32">
        <f t="shared" si="1"/>
        <v>-0.1266143327</v>
      </c>
      <c r="K43" s="32">
        <f t="shared" si="2"/>
        <v>-0.007596859965</v>
      </c>
      <c r="L43" s="32">
        <f t="shared" si="3"/>
        <v>-0.02025572857</v>
      </c>
      <c r="N43" s="25"/>
      <c r="P43" s="46"/>
      <c r="Q43" s="2"/>
      <c r="R43" s="14"/>
      <c r="S43" s="17"/>
      <c r="T43" s="17"/>
      <c r="U43" s="17"/>
      <c r="V43" s="2"/>
      <c r="W43" s="2"/>
      <c r="X43" s="2"/>
      <c r="Y43" s="25"/>
      <c r="Z43" s="25"/>
      <c r="AA43" s="25"/>
      <c r="AC43" s="25"/>
    </row>
    <row r="44">
      <c r="A44" s="4" t="s">
        <v>158</v>
      </c>
      <c r="B44" s="44">
        <v>44.0</v>
      </c>
      <c r="C44" s="45">
        <v>791.9</v>
      </c>
      <c r="D44" s="45">
        <v>0.62</v>
      </c>
      <c r="E44" s="11">
        <v>790.8</v>
      </c>
      <c r="F44" s="11">
        <v>791.51</v>
      </c>
      <c r="G44" s="36">
        <v>792.1</v>
      </c>
      <c r="H44" s="43">
        <v>731190.97</v>
      </c>
      <c r="I44" s="11">
        <v>0.5088273812484149</v>
      </c>
      <c r="J44" s="32">
        <f t="shared" si="1"/>
        <v>-0.1389064276</v>
      </c>
      <c r="K44" s="32">
        <f t="shared" si="2"/>
        <v>-0.04924864251</v>
      </c>
      <c r="L44" s="32">
        <f t="shared" si="3"/>
        <v>-0.07448554475</v>
      </c>
      <c r="N44" s="25"/>
      <c r="P44" s="46"/>
      <c r="Q44" s="2"/>
      <c r="R44" s="14"/>
      <c r="S44" s="17"/>
      <c r="T44" s="17"/>
      <c r="U44" s="17"/>
      <c r="V44" s="2"/>
      <c r="W44" s="2"/>
      <c r="X44" s="2"/>
      <c r="Y44" s="25"/>
      <c r="Z44" s="25"/>
      <c r="AA44" s="25"/>
      <c r="AC44" s="25"/>
    </row>
    <row r="45">
      <c r="A45" s="4" t="s">
        <v>158</v>
      </c>
      <c r="B45" s="44">
        <v>48.0</v>
      </c>
      <c r="C45" s="45">
        <v>793.2</v>
      </c>
      <c r="D45" s="45">
        <v>0.69</v>
      </c>
      <c r="E45" s="11">
        <v>792.5</v>
      </c>
      <c r="F45" s="11">
        <v>793.0</v>
      </c>
      <c r="G45" s="36">
        <v>793.11</v>
      </c>
      <c r="H45" s="43">
        <v>789064.8099999999</v>
      </c>
      <c r="I45" s="11">
        <v>0.37342100533781153</v>
      </c>
      <c r="J45" s="32">
        <f t="shared" si="1"/>
        <v>-0.08825012607</v>
      </c>
      <c r="K45" s="32">
        <f t="shared" si="2"/>
        <v>-0.02521432173</v>
      </c>
      <c r="L45" s="32">
        <f t="shared" si="3"/>
        <v>-0.01386945064</v>
      </c>
      <c r="N45" s="25"/>
      <c r="P45" s="46"/>
      <c r="Q45" s="2"/>
      <c r="R45" s="14"/>
      <c r="S45" s="17"/>
      <c r="T45" s="17"/>
      <c r="U45" s="17"/>
      <c r="V45" s="2"/>
      <c r="W45" s="2"/>
      <c r="X45" s="2"/>
      <c r="Y45" s="25"/>
      <c r="Z45" s="25"/>
      <c r="AA45" s="25"/>
      <c r="AC45" s="25"/>
    </row>
    <row r="46">
      <c r="A46" s="4" t="s">
        <v>158</v>
      </c>
      <c r="B46" s="44">
        <v>50.0</v>
      </c>
      <c r="C46" s="45">
        <v>793.8</v>
      </c>
      <c r="D46" s="45">
        <v>0.74</v>
      </c>
      <c r="E46" s="11">
        <v>793.0</v>
      </c>
      <c r="F46" s="11">
        <v>793.59</v>
      </c>
      <c r="G46" s="36">
        <v>794.18</v>
      </c>
      <c r="H46" s="43">
        <v>814986.84</v>
      </c>
      <c r="I46" s="11">
        <v>0.43004824744959697</v>
      </c>
      <c r="J46" s="32">
        <f t="shared" si="1"/>
        <v>-0.1007810532</v>
      </c>
      <c r="K46" s="32">
        <f t="shared" si="2"/>
        <v>-0.02645502646</v>
      </c>
      <c r="L46" s="32">
        <f t="shared" si="3"/>
        <v>-0.07429046312</v>
      </c>
      <c r="N46" s="25"/>
      <c r="P46" s="46"/>
      <c r="Q46" s="2"/>
      <c r="R46" s="14"/>
      <c r="S46" s="17"/>
      <c r="T46" s="17"/>
      <c r="U46" s="17"/>
      <c r="V46" s="2"/>
      <c r="W46" s="2"/>
      <c r="X46" s="2"/>
      <c r="Y46" s="25"/>
      <c r="Z46" s="25"/>
      <c r="AA46" s="25"/>
      <c r="AC46" s="25"/>
    </row>
    <row r="47">
      <c r="A47" s="4" t="s">
        <v>159</v>
      </c>
      <c r="B47" s="44">
        <v>2.0</v>
      </c>
      <c r="C47" s="45">
        <v>200.8</v>
      </c>
      <c r="D47" s="45">
        <v>0.13</v>
      </c>
      <c r="E47" s="11">
        <v>171.0</v>
      </c>
      <c r="F47" s="11">
        <v>173.12</v>
      </c>
      <c r="G47" s="36">
        <v>237.3</v>
      </c>
      <c r="H47" s="43">
        <v>150708.46</v>
      </c>
      <c r="I47" s="11">
        <v>1.2501958948867893</v>
      </c>
      <c r="J47" s="32">
        <f t="shared" si="1"/>
        <v>-14.84063745</v>
      </c>
      <c r="K47" s="32">
        <f t="shared" si="2"/>
        <v>-13.78486056</v>
      </c>
      <c r="L47" s="32">
        <f t="shared" si="3"/>
        <v>-27.04593342</v>
      </c>
      <c r="N47" s="25"/>
      <c r="P47" s="46"/>
      <c r="Q47" s="2"/>
      <c r="R47" s="14"/>
      <c r="S47" s="17"/>
      <c r="T47" s="17"/>
      <c r="U47" s="17"/>
      <c r="V47" s="2"/>
      <c r="W47" s="2"/>
      <c r="X47" s="2"/>
      <c r="Y47" s="25"/>
      <c r="Z47" s="25"/>
      <c r="AA47" s="25"/>
      <c r="AC47" s="25"/>
    </row>
    <row r="48">
      <c r="A48" s="4" t="s">
        <v>159</v>
      </c>
      <c r="B48" s="44">
        <v>4.0</v>
      </c>
      <c r="C48" s="45">
        <v>439.3</v>
      </c>
      <c r="D48" s="45">
        <v>0.22</v>
      </c>
      <c r="E48" s="11">
        <v>398.4</v>
      </c>
      <c r="F48" s="11">
        <v>401.77</v>
      </c>
      <c r="G48" s="36">
        <v>449.4</v>
      </c>
      <c r="H48" s="43">
        <v>188652.67</v>
      </c>
      <c r="I48" s="11">
        <v>2.1963812978604804</v>
      </c>
      <c r="J48" s="32">
        <f t="shared" si="1"/>
        <v>-9.310266333</v>
      </c>
      <c r="K48" s="32">
        <f t="shared" si="2"/>
        <v>-8.543136809</v>
      </c>
      <c r="L48" s="32">
        <f t="shared" si="3"/>
        <v>-10.59857588</v>
      </c>
      <c r="N48" s="25"/>
      <c r="P48" s="46"/>
      <c r="Q48" s="2"/>
      <c r="R48" s="14"/>
      <c r="S48" s="17"/>
      <c r="T48" s="17"/>
      <c r="U48" s="17"/>
      <c r="V48" s="2"/>
      <c r="W48" s="2"/>
      <c r="X48" s="2"/>
      <c r="Y48" s="25"/>
      <c r="Z48" s="25"/>
      <c r="AA48" s="25"/>
      <c r="AC48" s="25"/>
    </row>
    <row r="49">
      <c r="A49" s="4" t="s">
        <v>159</v>
      </c>
      <c r="B49" s="44">
        <v>6.0</v>
      </c>
      <c r="C49" s="45">
        <v>630.9</v>
      </c>
      <c r="D49" s="45">
        <v>0.29</v>
      </c>
      <c r="E49" s="11">
        <v>603.4</v>
      </c>
      <c r="F49" s="11">
        <v>606.82</v>
      </c>
      <c r="G49" s="36">
        <v>635.8</v>
      </c>
      <c r="H49" s="43">
        <v>228307.37</v>
      </c>
      <c r="I49" s="11">
        <v>2.1751032854804686</v>
      </c>
      <c r="J49" s="32">
        <f t="shared" si="1"/>
        <v>-4.358852433</v>
      </c>
      <c r="K49" s="32">
        <f t="shared" si="2"/>
        <v>-3.816769694</v>
      </c>
      <c r="L49" s="32">
        <f t="shared" si="3"/>
        <v>-4.558037119</v>
      </c>
      <c r="N49" s="25"/>
      <c r="P49" s="46"/>
      <c r="Q49" s="2"/>
      <c r="R49" s="14"/>
      <c r="S49" s="17"/>
      <c r="T49" s="17"/>
      <c r="U49" s="17"/>
      <c r="V49" s="2"/>
      <c r="W49" s="2"/>
      <c r="X49" s="2"/>
      <c r="Y49" s="20"/>
      <c r="Z49" s="25"/>
      <c r="AA49" s="25"/>
      <c r="AC49" s="25"/>
    </row>
    <row r="50">
      <c r="A50" s="4" t="s">
        <v>159</v>
      </c>
      <c r="B50" s="44">
        <v>8.0</v>
      </c>
      <c r="C50" s="45">
        <v>748.6</v>
      </c>
      <c r="D50" s="45">
        <v>0.34</v>
      </c>
      <c r="E50" s="11">
        <v>726.6</v>
      </c>
      <c r="F50" s="11">
        <v>730.51</v>
      </c>
      <c r="G50" s="36">
        <v>748.2</v>
      </c>
      <c r="H50" s="43">
        <v>267059.01</v>
      </c>
      <c r="I50" s="11">
        <v>2.0969909292098694</v>
      </c>
      <c r="J50" s="32">
        <f t="shared" si="1"/>
        <v>-2.938819129</v>
      </c>
      <c r="K50" s="32">
        <f t="shared" si="2"/>
        <v>-2.41651082</v>
      </c>
      <c r="L50" s="32">
        <f t="shared" si="3"/>
        <v>-2.364341085</v>
      </c>
      <c r="N50" s="25"/>
      <c r="P50" s="46"/>
      <c r="Q50" s="2"/>
      <c r="R50" s="14"/>
      <c r="S50" s="17"/>
      <c r="T50" s="17"/>
      <c r="U50" s="17"/>
      <c r="V50" s="2"/>
      <c r="W50" s="2"/>
      <c r="X50" s="2"/>
      <c r="Y50" s="25"/>
      <c r="Z50" s="25"/>
      <c r="AA50" s="25"/>
      <c r="AC50" s="25"/>
    </row>
    <row r="51">
      <c r="A51" s="4" t="s">
        <v>159</v>
      </c>
      <c r="B51" s="44">
        <v>10.0</v>
      </c>
      <c r="C51" s="45">
        <v>821.2</v>
      </c>
      <c r="D51" s="45">
        <v>0.37</v>
      </c>
      <c r="E51" s="11">
        <v>807.0</v>
      </c>
      <c r="F51" s="11">
        <v>810.1</v>
      </c>
      <c r="G51" s="36">
        <v>822.3</v>
      </c>
      <c r="H51" s="43">
        <v>306890.87</v>
      </c>
      <c r="I51" s="11">
        <v>1.705201981442823</v>
      </c>
      <c r="J51" s="32">
        <f t="shared" si="1"/>
        <v>-1.729176814</v>
      </c>
      <c r="K51" s="32">
        <f t="shared" si="2"/>
        <v>-1.351680468</v>
      </c>
      <c r="L51" s="32">
        <f t="shared" si="3"/>
        <v>-1.483643439</v>
      </c>
      <c r="N51" s="25"/>
      <c r="P51" s="46"/>
      <c r="Q51" s="2"/>
      <c r="R51" s="14"/>
      <c r="S51" s="17"/>
      <c r="T51" s="17"/>
      <c r="U51" s="17"/>
      <c r="V51" s="2"/>
      <c r="W51" s="2"/>
      <c r="X51" s="2"/>
      <c r="Y51" s="25"/>
      <c r="Z51" s="25"/>
      <c r="AA51" s="25"/>
      <c r="AC51" s="25"/>
    </row>
    <row r="52">
      <c r="A52" s="4" t="s">
        <v>159</v>
      </c>
      <c r="B52" s="44">
        <v>14.0</v>
      </c>
      <c r="C52" s="45">
        <v>899.1</v>
      </c>
      <c r="D52" s="45">
        <v>0.42</v>
      </c>
      <c r="E52" s="11">
        <v>889.9</v>
      </c>
      <c r="F52" s="11">
        <v>892.45</v>
      </c>
      <c r="G52" s="36">
        <v>899.2</v>
      </c>
      <c r="H52" s="43">
        <v>387138.88</v>
      </c>
      <c r="I52" s="11">
        <v>1.4123180007238312</v>
      </c>
      <c r="J52" s="32">
        <f t="shared" si="1"/>
        <v>-1.023245468</v>
      </c>
      <c r="K52" s="32">
        <f t="shared" si="2"/>
        <v>-0.7396285174</v>
      </c>
      <c r="L52" s="32">
        <f t="shared" si="3"/>
        <v>-0.7506672598</v>
      </c>
      <c r="N52" s="25"/>
      <c r="P52" s="46"/>
      <c r="Q52" s="2"/>
      <c r="R52" s="14"/>
      <c r="S52" s="17"/>
      <c r="T52" s="17"/>
      <c r="U52" s="17"/>
      <c r="V52" s="2"/>
      <c r="W52" s="2"/>
      <c r="X52" s="2"/>
      <c r="Y52" s="25"/>
      <c r="Z52" s="25"/>
      <c r="AA52" s="25"/>
      <c r="AC52" s="25"/>
    </row>
    <row r="53">
      <c r="A53" s="4" t="s">
        <v>159</v>
      </c>
      <c r="B53" s="44">
        <v>18.0</v>
      </c>
      <c r="C53" s="45">
        <v>935.1</v>
      </c>
      <c r="D53" s="45">
        <v>0.48</v>
      </c>
      <c r="E53" s="11">
        <v>930.4</v>
      </c>
      <c r="F53" s="11">
        <v>932.1600000000001</v>
      </c>
      <c r="G53" s="36">
        <v>936.0</v>
      </c>
      <c r="H53" s="43">
        <v>459814.52</v>
      </c>
      <c r="I53" s="11">
        <v>1.1492232533406406</v>
      </c>
      <c r="J53" s="32">
        <f t="shared" si="1"/>
        <v>-0.5026200406</v>
      </c>
      <c r="K53" s="32">
        <f t="shared" si="2"/>
        <v>-0.3144048765</v>
      </c>
      <c r="L53" s="32">
        <f t="shared" si="3"/>
        <v>-0.4102564103</v>
      </c>
      <c r="N53" s="25"/>
      <c r="P53" s="46"/>
      <c r="Q53" s="2"/>
      <c r="R53" s="14"/>
      <c r="S53" s="17"/>
      <c r="T53" s="17"/>
      <c r="U53" s="17"/>
      <c r="V53" s="2"/>
      <c r="W53" s="2"/>
      <c r="X53" s="2"/>
      <c r="Y53" s="25"/>
      <c r="Z53" s="25"/>
      <c r="AA53" s="25"/>
      <c r="AC53" s="25"/>
    </row>
    <row r="54">
      <c r="A54" s="4" t="s">
        <v>159</v>
      </c>
      <c r="B54" s="44">
        <v>20.0</v>
      </c>
      <c r="C54" s="45">
        <v>945.9</v>
      </c>
      <c r="D54" s="45">
        <v>0.5</v>
      </c>
      <c r="E54" s="11">
        <v>942.6</v>
      </c>
      <c r="F54" s="11">
        <v>944.06</v>
      </c>
      <c r="G54" s="36">
        <v>945.8</v>
      </c>
      <c r="H54" s="43">
        <v>498927.51</v>
      </c>
      <c r="I54" s="11">
        <v>0.8808618679314596</v>
      </c>
      <c r="J54" s="32">
        <f t="shared" si="1"/>
        <v>-0.3488740882</v>
      </c>
      <c r="K54" s="32">
        <f t="shared" si="2"/>
        <v>-0.194523734</v>
      </c>
      <c r="L54" s="32">
        <f t="shared" si="3"/>
        <v>-0.1839712413</v>
      </c>
      <c r="N54" s="25"/>
      <c r="P54" s="46"/>
      <c r="Q54" s="2"/>
      <c r="R54" s="14"/>
      <c r="S54" s="17"/>
      <c r="T54" s="17"/>
      <c r="U54" s="17"/>
      <c r="V54" s="2"/>
      <c r="W54" s="2"/>
      <c r="X54" s="2"/>
      <c r="Y54" s="25"/>
      <c r="Z54" s="25"/>
      <c r="AA54" s="25"/>
      <c r="AC54" s="25"/>
    </row>
    <row r="55">
      <c r="A55" s="4" t="s">
        <v>159</v>
      </c>
      <c r="B55" s="44">
        <v>24.0</v>
      </c>
      <c r="C55" s="45">
        <v>962.9</v>
      </c>
      <c r="D55" s="45">
        <v>0.55</v>
      </c>
      <c r="E55" s="11">
        <v>960.1</v>
      </c>
      <c r="F55" s="11">
        <v>961.39</v>
      </c>
      <c r="G55" s="36">
        <v>962.5</v>
      </c>
      <c r="H55" s="43">
        <v>571969.76</v>
      </c>
      <c r="I55" s="11">
        <v>0.823518730589149</v>
      </c>
      <c r="J55" s="32">
        <f t="shared" si="1"/>
        <v>-0.2907882438</v>
      </c>
      <c r="K55" s="32">
        <f t="shared" si="2"/>
        <v>-0.1568179458</v>
      </c>
      <c r="L55" s="32">
        <f t="shared" si="3"/>
        <v>-0.1153246753</v>
      </c>
      <c r="N55" s="25"/>
      <c r="P55" s="46"/>
      <c r="Q55" s="2"/>
      <c r="R55" s="14"/>
      <c r="S55" s="17"/>
      <c r="T55" s="17"/>
      <c r="U55" s="17"/>
      <c r="V55" s="2"/>
      <c r="W55" s="2"/>
      <c r="X55" s="2"/>
      <c r="Y55" s="25"/>
      <c r="Z55" s="25"/>
      <c r="AA55" s="25"/>
      <c r="AC55" s="25"/>
    </row>
    <row r="56">
      <c r="A56" s="4" t="s">
        <v>159</v>
      </c>
      <c r="B56" s="44">
        <v>28.0</v>
      </c>
      <c r="C56" s="45">
        <v>972.1</v>
      </c>
      <c r="D56" s="45">
        <v>0.62</v>
      </c>
      <c r="E56" s="11">
        <v>970.5</v>
      </c>
      <c r="F56" s="11">
        <v>971.8</v>
      </c>
      <c r="G56" s="36">
        <v>972.4</v>
      </c>
      <c r="H56" s="43">
        <v>644270.7</v>
      </c>
      <c r="I56" s="11">
        <v>0.8292989049231786</v>
      </c>
      <c r="J56" s="32">
        <f t="shared" si="1"/>
        <v>-0.1645921202</v>
      </c>
      <c r="K56" s="32">
        <f t="shared" si="2"/>
        <v>-0.03086102253</v>
      </c>
      <c r="L56" s="32">
        <f t="shared" si="3"/>
        <v>-0.06170300288</v>
      </c>
      <c r="N56" s="25"/>
      <c r="P56" s="46"/>
      <c r="Q56" s="2"/>
      <c r="R56" s="14"/>
      <c r="S56" s="17"/>
      <c r="T56" s="17"/>
      <c r="U56" s="17"/>
      <c r="V56" s="2"/>
      <c r="W56" s="2"/>
      <c r="X56" s="2"/>
      <c r="Y56" s="25"/>
      <c r="Z56" s="25"/>
      <c r="AA56" s="25"/>
      <c r="AC56" s="25"/>
    </row>
    <row r="57">
      <c r="A57" s="4" t="s">
        <v>159</v>
      </c>
      <c r="B57" s="44">
        <v>30.0</v>
      </c>
      <c r="C57" s="45">
        <v>975.3</v>
      </c>
      <c r="D57" s="45">
        <v>0.65</v>
      </c>
      <c r="E57" s="11">
        <v>974.3</v>
      </c>
      <c r="F57" s="11">
        <v>975.42</v>
      </c>
      <c r="G57" s="36">
        <v>976.1</v>
      </c>
      <c r="H57" s="43">
        <v>681133.34</v>
      </c>
      <c r="I57" s="11">
        <v>0.6848986776057455</v>
      </c>
      <c r="J57" s="32">
        <f t="shared" si="1"/>
        <v>-0.1025325541</v>
      </c>
      <c r="K57" s="32">
        <f t="shared" si="2"/>
        <v>0.01230390649</v>
      </c>
      <c r="L57" s="32">
        <f t="shared" si="3"/>
        <v>-0.06966499334</v>
      </c>
      <c r="N57" s="25"/>
      <c r="P57" s="46"/>
      <c r="Q57" s="2"/>
      <c r="R57" s="14"/>
      <c r="S57" s="17"/>
      <c r="T57" s="17"/>
      <c r="U57" s="17"/>
      <c r="V57" s="2"/>
      <c r="W57" s="2"/>
      <c r="X57" s="2"/>
      <c r="Y57" s="25"/>
      <c r="Z57" s="25"/>
      <c r="AA57" s="25"/>
      <c r="AC57" s="25"/>
    </row>
    <row r="58">
      <c r="A58" s="4" t="s">
        <v>159</v>
      </c>
      <c r="B58" s="44">
        <v>34.0</v>
      </c>
      <c r="C58" s="45">
        <v>981.6</v>
      </c>
      <c r="D58" s="45">
        <v>0.71</v>
      </c>
      <c r="E58" s="11">
        <v>980.4</v>
      </c>
      <c r="F58" s="11">
        <v>981.32</v>
      </c>
      <c r="G58" s="36">
        <v>981.8</v>
      </c>
      <c r="H58" s="43">
        <v>757400.78</v>
      </c>
      <c r="I58" s="11">
        <v>0.5881021148516506</v>
      </c>
      <c r="J58" s="32">
        <f t="shared" si="1"/>
        <v>-0.1222493888</v>
      </c>
      <c r="K58" s="32">
        <f t="shared" si="2"/>
        <v>-0.02852485738</v>
      </c>
      <c r="L58" s="32">
        <f t="shared" si="3"/>
        <v>-0.04888979426</v>
      </c>
      <c r="N58" s="25"/>
      <c r="P58" s="46"/>
      <c r="Q58" s="2"/>
      <c r="R58" s="14"/>
      <c r="S58" s="17"/>
      <c r="T58" s="17"/>
      <c r="U58" s="17"/>
      <c r="V58" s="2"/>
      <c r="W58" s="2"/>
      <c r="X58" s="2"/>
      <c r="Y58" s="25"/>
      <c r="Z58" s="25"/>
      <c r="AA58" s="25"/>
      <c r="AC58" s="25"/>
    </row>
    <row r="59">
      <c r="A59" s="4" t="s">
        <v>159</v>
      </c>
      <c r="B59" s="44">
        <v>38.0</v>
      </c>
      <c r="C59" s="45">
        <v>985.0</v>
      </c>
      <c r="D59" s="45">
        <v>0.77</v>
      </c>
      <c r="E59" s="11">
        <v>984.3</v>
      </c>
      <c r="F59" s="11">
        <v>985.16</v>
      </c>
      <c r="G59" s="36">
        <v>985.1</v>
      </c>
      <c r="H59" s="43">
        <v>828770.53</v>
      </c>
      <c r="I59" s="11">
        <v>0.5672995944638527</v>
      </c>
      <c r="J59" s="32">
        <f t="shared" si="1"/>
        <v>-0.07106598985</v>
      </c>
      <c r="K59" s="32">
        <f t="shared" si="2"/>
        <v>0.01624365482</v>
      </c>
      <c r="L59" s="32">
        <f t="shared" si="3"/>
        <v>0.006090752208</v>
      </c>
      <c r="N59" s="25"/>
      <c r="P59" s="46"/>
      <c r="Q59" s="2"/>
      <c r="R59" s="14"/>
      <c r="S59" s="17"/>
      <c r="T59" s="17"/>
      <c r="U59" s="17"/>
      <c r="V59" s="2"/>
      <c r="W59" s="2"/>
      <c r="X59" s="2"/>
      <c r="Y59" s="25"/>
      <c r="Z59" s="25"/>
      <c r="AA59" s="25"/>
      <c r="AC59" s="25"/>
    </row>
    <row r="60">
      <c r="A60" s="4" t="s">
        <v>159</v>
      </c>
      <c r="B60" s="44">
        <v>40.0</v>
      </c>
      <c r="C60" s="45">
        <v>986.7</v>
      </c>
      <c r="D60" s="45">
        <v>0.8</v>
      </c>
      <c r="E60" s="11">
        <v>985.9</v>
      </c>
      <c r="F60" s="11">
        <v>986.75</v>
      </c>
      <c r="G60" s="36">
        <v>986.9</v>
      </c>
      <c r="H60" s="43">
        <v>861834.22</v>
      </c>
      <c r="I60" s="11">
        <v>0.5104583051579065</v>
      </c>
      <c r="J60" s="32">
        <f t="shared" si="1"/>
        <v>-0.08107834195</v>
      </c>
      <c r="K60" s="32">
        <f t="shared" si="2"/>
        <v>0.005067396372</v>
      </c>
      <c r="L60" s="32">
        <f t="shared" si="3"/>
        <v>-0.01519910832</v>
      </c>
      <c r="N60" s="25"/>
      <c r="P60" s="46"/>
      <c r="Q60" s="2"/>
      <c r="R60" s="14"/>
      <c r="S60" s="17"/>
      <c r="T60" s="17"/>
      <c r="U60" s="17"/>
      <c r="V60" s="2"/>
      <c r="W60" s="2"/>
      <c r="X60" s="2"/>
      <c r="Y60" s="25"/>
      <c r="Z60" s="25"/>
      <c r="AA60" s="25"/>
      <c r="AC60" s="25"/>
    </row>
    <row r="61">
      <c r="A61" s="4" t="s">
        <v>159</v>
      </c>
      <c r="B61" s="44">
        <v>44.0</v>
      </c>
      <c r="C61" s="45">
        <v>989.2</v>
      </c>
      <c r="D61" s="45">
        <v>0.88</v>
      </c>
      <c r="E61" s="11">
        <v>988.6</v>
      </c>
      <c r="F61" s="11">
        <v>989.22</v>
      </c>
      <c r="G61" s="36">
        <v>989.3</v>
      </c>
      <c r="H61" s="43">
        <v>931309.1</v>
      </c>
      <c r="I61" s="11">
        <v>0.5158178075389297</v>
      </c>
      <c r="J61" s="32">
        <f t="shared" si="1"/>
        <v>-0.06065507481</v>
      </c>
      <c r="K61" s="32">
        <f t="shared" si="2"/>
        <v>0.002021835827</v>
      </c>
      <c r="L61" s="32">
        <f t="shared" si="3"/>
        <v>-0.008086525826</v>
      </c>
      <c r="N61" s="25"/>
      <c r="P61" s="46"/>
      <c r="Q61" s="2"/>
      <c r="R61" s="14"/>
      <c r="S61" s="17"/>
      <c r="T61" s="17"/>
      <c r="U61" s="17"/>
      <c r="V61" s="2"/>
      <c r="W61" s="2"/>
      <c r="X61" s="2"/>
      <c r="Y61" s="25"/>
      <c r="Z61" s="25"/>
      <c r="AA61" s="25"/>
      <c r="AC61" s="25"/>
    </row>
    <row r="62">
      <c r="A62" s="4" t="s">
        <v>159</v>
      </c>
      <c r="B62" s="44">
        <v>48.0</v>
      </c>
      <c r="C62" s="45">
        <v>991.4</v>
      </c>
      <c r="D62" s="45">
        <v>0.98</v>
      </c>
      <c r="E62" s="11">
        <v>990.6</v>
      </c>
      <c r="F62" s="11">
        <v>991.08</v>
      </c>
      <c r="G62" s="36">
        <v>991.4</v>
      </c>
      <c r="H62" s="43">
        <v>1010502.98</v>
      </c>
      <c r="I62" s="11">
        <v>0.4111846689578817</v>
      </c>
      <c r="J62" s="32">
        <f t="shared" si="1"/>
        <v>-0.08069396813</v>
      </c>
      <c r="K62" s="32">
        <f t="shared" si="2"/>
        <v>-0.03227758725</v>
      </c>
      <c r="L62" s="32">
        <f t="shared" si="3"/>
        <v>-0.03227758725</v>
      </c>
      <c r="N62" s="25"/>
      <c r="P62" s="46"/>
      <c r="Q62" s="2"/>
      <c r="R62" s="14"/>
      <c r="S62" s="17"/>
      <c r="T62" s="17"/>
      <c r="U62" s="17"/>
      <c r="V62" s="2"/>
      <c r="W62" s="2"/>
      <c r="X62" s="2"/>
      <c r="Y62" s="25"/>
      <c r="Z62" s="25"/>
      <c r="AA62" s="25"/>
      <c r="AC62" s="25"/>
    </row>
    <row r="63">
      <c r="A63" s="4" t="s">
        <v>159</v>
      </c>
      <c r="B63" s="44">
        <v>50.0</v>
      </c>
      <c r="C63" s="45">
        <v>991.6</v>
      </c>
      <c r="D63" s="45">
        <v>1.04</v>
      </c>
      <c r="E63" s="11">
        <v>991.3</v>
      </c>
      <c r="F63" s="11">
        <v>991.9599999999999</v>
      </c>
      <c r="G63" s="36">
        <v>991.9</v>
      </c>
      <c r="H63" s="43">
        <v>1048432.23</v>
      </c>
      <c r="I63" s="11">
        <v>0.3495913911213999</v>
      </c>
      <c r="J63" s="32">
        <f t="shared" si="1"/>
        <v>-0.03025413473</v>
      </c>
      <c r="K63" s="32">
        <f t="shared" si="2"/>
        <v>0.03630496168</v>
      </c>
      <c r="L63" s="32">
        <f t="shared" si="3"/>
        <v>0.006048996875</v>
      </c>
      <c r="N63" s="25"/>
      <c r="P63" s="46"/>
      <c r="Q63" s="2"/>
      <c r="R63" s="14"/>
      <c r="S63" s="17"/>
      <c r="T63" s="17"/>
      <c r="U63" s="17"/>
      <c r="V63" s="2"/>
      <c r="W63" s="2"/>
      <c r="X63" s="2"/>
      <c r="Y63" s="25"/>
      <c r="Z63" s="25"/>
      <c r="AA63" s="25"/>
      <c r="AC63" s="25"/>
    </row>
    <row r="64">
      <c r="A64" s="4" t="s">
        <v>159</v>
      </c>
      <c r="B64" s="44">
        <v>54.0</v>
      </c>
      <c r="C64" s="45">
        <v>992.9</v>
      </c>
      <c r="D64" s="45">
        <v>1.14</v>
      </c>
      <c r="E64" s="11">
        <v>992.8</v>
      </c>
      <c r="F64" s="11">
        <v>993.22</v>
      </c>
      <c r="G64" s="36">
        <v>993.3</v>
      </c>
      <c r="H64" s="43">
        <v>1117326.1300000001</v>
      </c>
      <c r="I64" s="11">
        <v>0.43733990885585583</v>
      </c>
      <c r="J64" s="32">
        <f t="shared" si="1"/>
        <v>-0.0100715077</v>
      </c>
      <c r="K64" s="32">
        <f t="shared" si="2"/>
        <v>0.03222882466</v>
      </c>
      <c r="L64" s="32">
        <f t="shared" si="3"/>
        <v>-0.008053961542</v>
      </c>
      <c r="N64" s="25"/>
      <c r="P64" s="46"/>
      <c r="Q64" s="2"/>
      <c r="R64" s="14"/>
      <c r="S64" s="17"/>
      <c r="T64" s="17"/>
      <c r="U64" s="17"/>
      <c r="V64" s="2"/>
      <c r="W64" s="2"/>
      <c r="X64" s="2"/>
      <c r="Y64" s="25"/>
      <c r="Z64" s="25"/>
      <c r="AA64" s="25"/>
      <c r="AC64" s="25"/>
    </row>
    <row r="65">
      <c r="A65" s="46"/>
      <c r="B65" s="2"/>
      <c r="C65" s="14"/>
      <c r="D65" s="17"/>
      <c r="E65" s="17"/>
      <c r="F65" s="17"/>
      <c r="G65" s="2"/>
      <c r="H65" s="2"/>
      <c r="I65" s="2"/>
      <c r="J65" s="25"/>
      <c r="K65" s="25"/>
      <c r="L65" s="25"/>
      <c r="N65" s="25"/>
      <c r="P65" s="46"/>
      <c r="Q65" s="2"/>
      <c r="R65" s="14"/>
      <c r="S65" s="17"/>
      <c r="T65" s="17"/>
      <c r="U65" s="17"/>
      <c r="V65" s="2"/>
      <c r="W65" s="2"/>
      <c r="X65" s="2"/>
      <c r="Y65" s="25"/>
      <c r="Z65" s="25"/>
      <c r="AA65" s="25"/>
      <c r="AC65" s="25"/>
    </row>
    <row r="66">
      <c r="A66" s="46"/>
      <c r="B66" s="2"/>
      <c r="C66" s="14"/>
      <c r="D66" s="17"/>
      <c r="E66" s="17"/>
      <c r="F66" s="17"/>
      <c r="G66" s="2"/>
      <c r="H66" s="2"/>
      <c r="I66" s="2"/>
      <c r="J66" s="47"/>
      <c r="K66" s="25"/>
      <c r="L66" s="25"/>
      <c r="N66" s="25"/>
      <c r="P66" s="46"/>
      <c r="Q66" s="2"/>
      <c r="R66" s="14"/>
      <c r="S66" s="17"/>
      <c r="T66" s="17"/>
      <c r="U66" s="17"/>
      <c r="V66" s="2"/>
      <c r="W66" s="2"/>
      <c r="X66" s="2"/>
      <c r="Y66" s="47"/>
      <c r="Z66" s="25"/>
      <c r="AA66" s="25"/>
      <c r="AC66" s="25"/>
    </row>
    <row r="67">
      <c r="E67" s="17"/>
      <c r="T67" s="17"/>
    </row>
    <row r="69">
      <c r="A69" s="4"/>
      <c r="B69" s="44"/>
      <c r="C69" s="43"/>
      <c r="D69" s="12"/>
      <c r="E69" s="42"/>
      <c r="F69" s="43"/>
      <c r="G69" s="11"/>
      <c r="H69" s="43"/>
      <c r="I69" s="42"/>
      <c r="J69" s="36"/>
      <c r="K69" s="42"/>
      <c r="L69" s="43"/>
      <c r="M69" s="42"/>
      <c r="N69" s="11"/>
      <c r="O69" s="42"/>
      <c r="P69" s="48"/>
      <c r="Q69" s="42"/>
      <c r="R69" s="48"/>
      <c r="S69" s="42"/>
    </row>
    <row r="70">
      <c r="A70" s="4"/>
      <c r="B70" s="44"/>
      <c r="C70" s="43"/>
      <c r="D70" s="12"/>
      <c r="E70" s="42"/>
      <c r="F70" s="43"/>
      <c r="G70" s="11"/>
      <c r="H70" s="43"/>
      <c r="I70" s="42"/>
      <c r="J70" s="36"/>
      <c r="K70" s="42"/>
      <c r="L70" s="43"/>
      <c r="M70" s="42"/>
      <c r="N70" s="11"/>
      <c r="O70" s="42"/>
      <c r="P70" s="48"/>
      <c r="Q70" s="42"/>
      <c r="R70" s="48"/>
      <c r="S70" s="42"/>
    </row>
    <row r="71">
      <c r="A71" s="4"/>
      <c r="B71" s="44"/>
      <c r="C71" s="43"/>
      <c r="D71" s="12"/>
      <c r="E71" s="42"/>
      <c r="F71" s="43"/>
      <c r="G71" s="11"/>
      <c r="H71" s="43"/>
      <c r="I71" s="42"/>
      <c r="J71" s="36"/>
      <c r="K71" s="42"/>
      <c r="L71" s="43"/>
      <c r="M71" s="42"/>
      <c r="N71" s="11"/>
      <c r="O71" s="42"/>
      <c r="P71" s="48"/>
      <c r="Q71" s="42"/>
      <c r="R71" s="48"/>
      <c r="S71" s="42"/>
    </row>
    <row r="72">
      <c r="A72" s="4"/>
      <c r="B72" s="44"/>
      <c r="C72" s="43"/>
      <c r="D72" s="12"/>
      <c r="E72" s="42"/>
      <c r="F72" s="43"/>
      <c r="G72" s="11"/>
      <c r="H72" s="43"/>
      <c r="I72" s="42"/>
      <c r="J72" s="36"/>
      <c r="K72" s="42"/>
      <c r="L72" s="43"/>
      <c r="M72" s="42"/>
      <c r="N72" s="11"/>
      <c r="O72" s="42"/>
      <c r="P72" s="48"/>
      <c r="Q72" s="42"/>
      <c r="R72" s="48"/>
      <c r="S72" s="42"/>
    </row>
    <row r="73">
      <c r="A73" s="4"/>
      <c r="B73" s="44"/>
      <c r="C73" s="43"/>
      <c r="D73" s="12"/>
      <c r="E73" s="42"/>
      <c r="F73" s="43"/>
      <c r="G73" s="11"/>
      <c r="H73" s="43"/>
      <c r="I73" s="42"/>
      <c r="J73" s="36"/>
      <c r="K73" s="42"/>
      <c r="L73" s="43"/>
      <c r="M73" s="42"/>
      <c r="N73" s="11"/>
      <c r="O73" s="42"/>
      <c r="P73" s="48"/>
      <c r="Q73" s="42"/>
      <c r="R73" s="48"/>
      <c r="S73" s="42"/>
    </row>
    <row r="74">
      <c r="A74" s="4"/>
      <c r="B74" s="44"/>
      <c r="C74" s="43"/>
      <c r="D74" s="12"/>
      <c r="E74" s="42"/>
      <c r="F74" s="43"/>
      <c r="G74" s="11"/>
      <c r="H74" s="43"/>
      <c r="I74" s="42"/>
      <c r="J74" s="36"/>
      <c r="K74" s="42"/>
      <c r="L74" s="43"/>
      <c r="M74" s="42"/>
      <c r="N74" s="11"/>
      <c r="O74" s="42"/>
      <c r="P74" s="48"/>
      <c r="Q74" s="42"/>
      <c r="R74" s="48"/>
      <c r="S74" s="42"/>
    </row>
    <row r="75">
      <c r="A75" s="4"/>
      <c r="B75" s="44"/>
      <c r="C75" s="43"/>
      <c r="D75" s="12"/>
      <c r="E75" s="42"/>
      <c r="F75" s="43"/>
      <c r="G75" s="11"/>
      <c r="H75" s="43"/>
      <c r="I75" s="42"/>
      <c r="J75" s="36"/>
      <c r="K75" s="42"/>
      <c r="L75" s="43"/>
      <c r="M75" s="42"/>
      <c r="N75" s="11"/>
      <c r="O75" s="42"/>
      <c r="P75" s="48"/>
      <c r="Q75" s="42"/>
      <c r="R75" s="48"/>
      <c r="S75" s="42"/>
    </row>
    <row r="76">
      <c r="A76" s="4"/>
      <c r="B76" s="44"/>
      <c r="C76" s="43"/>
      <c r="D76" s="12"/>
      <c r="E76" s="42"/>
      <c r="F76" s="43"/>
      <c r="G76" s="11"/>
      <c r="H76" s="43"/>
      <c r="I76" s="42"/>
      <c r="J76" s="36"/>
      <c r="K76" s="42"/>
      <c r="L76" s="43"/>
      <c r="M76" s="42"/>
      <c r="N76" s="11"/>
      <c r="O76" s="42"/>
      <c r="P76" s="48"/>
      <c r="Q76" s="42"/>
      <c r="R76" s="48"/>
      <c r="S76" s="42"/>
    </row>
    <row r="77">
      <c r="A77" s="4"/>
      <c r="B77" s="44"/>
      <c r="C77" s="43"/>
      <c r="D77" s="12"/>
      <c r="E77" s="42"/>
      <c r="F77" s="43"/>
      <c r="G77" s="11"/>
      <c r="H77" s="43"/>
      <c r="I77" s="42"/>
      <c r="J77" s="36"/>
      <c r="K77" s="42"/>
      <c r="L77" s="43"/>
      <c r="M77" s="42"/>
      <c r="N77" s="11"/>
      <c r="O77" s="42"/>
      <c r="P77" s="48"/>
      <c r="Q77" s="42"/>
      <c r="R77" s="48"/>
      <c r="S77" s="42"/>
    </row>
    <row r="78">
      <c r="A78" s="4"/>
      <c r="B78" s="44"/>
      <c r="C78" s="43"/>
      <c r="D78" s="12"/>
      <c r="E78" s="42"/>
      <c r="F78" s="43"/>
      <c r="G78" s="11"/>
      <c r="H78" s="43"/>
      <c r="I78" s="42"/>
      <c r="J78" s="36"/>
      <c r="K78" s="42"/>
      <c r="L78" s="43"/>
      <c r="M78" s="42"/>
      <c r="N78" s="11"/>
      <c r="O78" s="42"/>
      <c r="P78" s="48"/>
      <c r="Q78" s="42"/>
      <c r="R78" s="48"/>
      <c r="S78" s="42"/>
    </row>
    <row r="79">
      <c r="A79" s="4"/>
      <c r="B79" s="44"/>
      <c r="C79" s="43"/>
      <c r="D79" s="12"/>
      <c r="E79" s="42"/>
      <c r="F79" s="43"/>
      <c r="G79" s="11"/>
      <c r="H79" s="43"/>
      <c r="I79" s="42"/>
      <c r="J79" s="36"/>
      <c r="K79" s="42"/>
      <c r="L79" s="43"/>
      <c r="M79" s="42"/>
      <c r="N79" s="11"/>
      <c r="O79" s="42"/>
      <c r="P79" s="48"/>
      <c r="Q79" s="42"/>
      <c r="R79" s="48"/>
      <c r="S79" s="42"/>
    </row>
    <row r="80">
      <c r="A80" s="4"/>
      <c r="B80" s="44"/>
      <c r="C80" s="43"/>
      <c r="D80" s="12"/>
      <c r="E80" s="42"/>
      <c r="F80" s="43"/>
      <c r="G80" s="11"/>
      <c r="H80" s="43"/>
      <c r="I80" s="42"/>
      <c r="J80" s="36"/>
      <c r="K80" s="42"/>
      <c r="L80" s="43"/>
      <c r="M80" s="42"/>
      <c r="N80" s="11"/>
      <c r="O80" s="42"/>
      <c r="P80" s="48"/>
      <c r="Q80" s="42"/>
      <c r="R80" s="48"/>
      <c r="S80" s="42"/>
    </row>
    <row r="81">
      <c r="A81" s="4"/>
      <c r="B81" s="44"/>
      <c r="C81" s="43"/>
      <c r="D81" s="12"/>
      <c r="E81" s="42"/>
      <c r="F81" s="43"/>
      <c r="G81" s="11"/>
      <c r="H81" s="43"/>
      <c r="I81" s="42"/>
      <c r="J81" s="36"/>
      <c r="K81" s="42"/>
      <c r="L81" s="43"/>
      <c r="M81" s="42"/>
      <c r="N81" s="11"/>
      <c r="O81" s="42"/>
      <c r="P81" s="48"/>
      <c r="Q81" s="42"/>
      <c r="R81" s="48"/>
      <c r="S81" s="42"/>
    </row>
    <row r="82">
      <c r="A82" s="4"/>
      <c r="B82" s="44"/>
      <c r="C82" s="43"/>
      <c r="D82" s="12"/>
      <c r="E82" s="42"/>
      <c r="F82" s="43"/>
      <c r="G82" s="11"/>
      <c r="H82" s="43"/>
      <c r="I82" s="42"/>
      <c r="J82" s="36"/>
      <c r="K82" s="42"/>
      <c r="L82" s="43"/>
      <c r="M82" s="42"/>
      <c r="N82" s="11"/>
      <c r="O82" s="42"/>
      <c r="P82" s="48"/>
      <c r="Q82" s="42"/>
      <c r="R82" s="48"/>
      <c r="S82" s="42"/>
    </row>
    <row r="83">
      <c r="A83" s="4"/>
      <c r="B83" s="44"/>
      <c r="C83" s="43"/>
      <c r="D83" s="12"/>
      <c r="E83" s="42"/>
      <c r="F83" s="43"/>
      <c r="G83" s="11"/>
      <c r="H83" s="43"/>
      <c r="I83" s="42"/>
      <c r="J83" s="36"/>
      <c r="K83" s="42"/>
      <c r="L83" s="43"/>
      <c r="M83" s="42"/>
      <c r="N83" s="11"/>
      <c r="O83" s="42"/>
      <c r="P83" s="48"/>
      <c r="Q83" s="42"/>
      <c r="R83" s="48"/>
      <c r="S83" s="42"/>
    </row>
    <row r="84">
      <c r="A84" s="4"/>
      <c r="B84" s="44"/>
      <c r="C84" s="43"/>
      <c r="D84" s="12"/>
      <c r="E84" s="42"/>
      <c r="F84" s="43"/>
      <c r="G84" s="11"/>
      <c r="H84" s="43"/>
      <c r="I84" s="42"/>
      <c r="J84" s="36"/>
      <c r="K84" s="42"/>
      <c r="L84" s="43"/>
      <c r="M84" s="42"/>
      <c r="N84" s="11"/>
      <c r="O84" s="42"/>
      <c r="P84" s="48"/>
      <c r="Q84" s="42"/>
      <c r="R84" s="48"/>
      <c r="S84" s="42"/>
    </row>
    <row r="85">
      <c r="A85" s="4"/>
      <c r="B85" s="44"/>
      <c r="C85" s="43"/>
      <c r="D85" s="12"/>
      <c r="E85" s="42"/>
      <c r="F85" s="43"/>
      <c r="G85" s="11"/>
      <c r="H85" s="43"/>
      <c r="I85" s="42"/>
      <c r="J85" s="36"/>
      <c r="K85" s="42"/>
      <c r="L85" s="43"/>
      <c r="M85" s="42"/>
      <c r="N85" s="11"/>
      <c r="O85" s="42"/>
      <c r="P85" s="48"/>
      <c r="Q85" s="42"/>
      <c r="R85" s="48"/>
      <c r="S85" s="42"/>
    </row>
    <row r="86">
      <c r="A86" s="4"/>
      <c r="B86" s="44"/>
      <c r="C86" s="43"/>
      <c r="D86" s="12"/>
      <c r="E86" s="42"/>
      <c r="F86" s="43"/>
      <c r="G86" s="11"/>
      <c r="H86" s="43"/>
      <c r="I86" s="42"/>
      <c r="J86" s="36"/>
      <c r="K86" s="42"/>
      <c r="L86" s="43"/>
      <c r="M86" s="42"/>
      <c r="N86" s="11"/>
      <c r="O86" s="42"/>
      <c r="P86" s="48"/>
      <c r="Q86" s="42"/>
      <c r="R86" s="48"/>
      <c r="S86" s="42"/>
    </row>
    <row r="87">
      <c r="A87" s="4"/>
      <c r="B87" s="44"/>
      <c r="C87" s="43"/>
      <c r="D87" s="12"/>
      <c r="E87" s="17"/>
      <c r="F87" s="43"/>
      <c r="G87" s="11"/>
      <c r="H87" s="43"/>
    </row>
    <row r="88">
      <c r="A88" s="4"/>
      <c r="B88" s="44"/>
      <c r="C88" s="43"/>
      <c r="D88" s="12"/>
      <c r="E88" s="17"/>
      <c r="F88" s="43"/>
      <c r="G88" s="11"/>
      <c r="H88" s="43"/>
    </row>
    <row r="89">
      <c r="A89" s="4"/>
      <c r="B89" s="44"/>
      <c r="C89" s="43"/>
      <c r="D89" s="12"/>
      <c r="E89" s="17"/>
      <c r="F89" s="43"/>
      <c r="G89" s="11"/>
      <c r="H89" s="43"/>
    </row>
    <row r="90">
      <c r="A90" s="4"/>
      <c r="B90" s="44"/>
      <c r="C90" s="43"/>
      <c r="D90" s="12"/>
      <c r="E90" s="17"/>
      <c r="F90" s="43"/>
      <c r="G90" s="11"/>
      <c r="H90" s="43"/>
    </row>
    <row r="91">
      <c r="A91" s="4"/>
      <c r="B91" s="44"/>
      <c r="C91" s="43"/>
      <c r="D91" s="12"/>
      <c r="E91" s="17"/>
      <c r="F91" s="43"/>
      <c r="G91" s="11"/>
      <c r="H91" s="43"/>
    </row>
    <row r="92">
      <c r="A92" s="4"/>
      <c r="B92" s="44"/>
      <c r="C92" s="43"/>
      <c r="D92" s="12"/>
      <c r="E92" s="17"/>
      <c r="F92" s="43"/>
      <c r="G92" s="11"/>
      <c r="H92" s="43"/>
    </row>
    <row r="93">
      <c r="A93" s="4"/>
      <c r="B93" s="44"/>
      <c r="C93" s="43"/>
      <c r="D93" s="12"/>
      <c r="E93" s="17"/>
      <c r="F93" s="43"/>
      <c r="G93" s="11"/>
      <c r="H93" s="43"/>
    </row>
    <row r="94">
      <c r="A94" s="4"/>
      <c r="B94" s="44"/>
      <c r="C94" s="43"/>
      <c r="D94" s="12"/>
      <c r="E94" s="17"/>
      <c r="F94" s="43"/>
      <c r="G94" s="11"/>
      <c r="H94" s="43"/>
    </row>
    <row r="95">
      <c r="A95" s="4"/>
      <c r="B95" s="44"/>
      <c r="C95" s="43"/>
      <c r="D95" s="12"/>
      <c r="E95" s="17"/>
      <c r="F95" s="43"/>
      <c r="G95" s="11"/>
      <c r="H95" s="43"/>
    </row>
    <row r="96">
      <c r="A96" s="4"/>
      <c r="B96" s="44"/>
      <c r="C96" s="43"/>
      <c r="D96" s="12"/>
      <c r="E96" s="17"/>
      <c r="F96" s="43"/>
      <c r="G96" s="11"/>
      <c r="H96" s="43"/>
    </row>
    <row r="97">
      <c r="A97" s="4"/>
      <c r="B97" s="44"/>
      <c r="C97" s="43"/>
      <c r="D97" s="12"/>
      <c r="E97" s="17"/>
      <c r="F97" s="43"/>
      <c r="G97" s="11"/>
      <c r="H97" s="43"/>
    </row>
    <row r="98">
      <c r="A98" s="4"/>
      <c r="B98" s="44"/>
      <c r="C98" s="43"/>
      <c r="D98" s="12"/>
      <c r="E98" s="17"/>
      <c r="F98" s="43"/>
      <c r="G98" s="11"/>
      <c r="H98" s="43"/>
    </row>
    <row r="99">
      <c r="A99" s="4"/>
      <c r="B99" s="44"/>
      <c r="C99" s="43"/>
      <c r="D99" s="12"/>
      <c r="E99" s="17"/>
      <c r="F99" s="43"/>
      <c r="G99" s="11"/>
      <c r="H99" s="43"/>
    </row>
    <row r="100">
      <c r="A100" s="4"/>
      <c r="B100" s="44"/>
      <c r="C100" s="43"/>
      <c r="D100" s="12"/>
      <c r="E100" s="17"/>
      <c r="F100" s="43"/>
      <c r="G100" s="11"/>
      <c r="H100" s="43"/>
    </row>
    <row r="101">
      <c r="A101" s="4"/>
      <c r="B101" s="44"/>
      <c r="C101" s="43"/>
      <c r="D101" s="12"/>
      <c r="E101" s="17"/>
      <c r="F101" s="43"/>
      <c r="G101" s="11"/>
      <c r="H101" s="43"/>
    </row>
    <row r="102">
      <c r="A102" s="4"/>
      <c r="B102" s="44"/>
      <c r="C102" s="43"/>
      <c r="D102" s="12"/>
      <c r="E102" s="17"/>
      <c r="F102" s="43"/>
      <c r="G102" s="11"/>
      <c r="H102" s="43"/>
    </row>
    <row r="103">
      <c r="A103" s="4"/>
      <c r="B103" s="44"/>
      <c r="C103" s="43"/>
      <c r="D103" s="12"/>
      <c r="E103" s="17"/>
      <c r="F103" s="43"/>
      <c r="G103" s="11"/>
      <c r="H103" s="43"/>
    </row>
    <row r="104">
      <c r="A104" s="4"/>
      <c r="B104" s="44"/>
      <c r="C104" s="43"/>
      <c r="D104" s="12"/>
      <c r="E104" s="17"/>
      <c r="F104" s="43"/>
      <c r="G104" s="11"/>
      <c r="H104" s="43"/>
    </row>
    <row r="105">
      <c r="A105" s="4"/>
      <c r="B105" s="44"/>
      <c r="C105" s="43"/>
      <c r="D105" s="12"/>
      <c r="E105" s="17"/>
      <c r="F105" s="43"/>
      <c r="G105" s="11"/>
      <c r="H105" s="43"/>
    </row>
    <row r="106">
      <c r="A106" s="4"/>
      <c r="B106" s="44"/>
      <c r="C106" s="43"/>
      <c r="D106" s="12"/>
      <c r="E106" s="17"/>
      <c r="F106" s="43"/>
      <c r="G106" s="11"/>
      <c r="H106" s="43"/>
    </row>
    <row r="107">
      <c r="A107" s="4"/>
      <c r="B107" s="44"/>
      <c r="C107" s="43"/>
      <c r="D107" s="12"/>
      <c r="E107" s="17"/>
      <c r="F107" s="43"/>
      <c r="G107" s="11"/>
      <c r="H107" s="43"/>
    </row>
    <row r="108">
      <c r="A108" s="4"/>
      <c r="B108" s="44"/>
      <c r="C108" s="43"/>
      <c r="D108" s="12"/>
      <c r="E108" s="17"/>
      <c r="F108" s="43"/>
      <c r="G108" s="11"/>
      <c r="H108" s="43"/>
    </row>
    <row r="109">
      <c r="A109" s="4"/>
      <c r="B109" s="44"/>
      <c r="C109" s="43"/>
      <c r="D109" s="12"/>
      <c r="E109" s="17"/>
      <c r="F109" s="43"/>
      <c r="G109" s="11"/>
      <c r="H109" s="43"/>
    </row>
    <row r="110">
      <c r="A110" s="4"/>
      <c r="B110" s="44"/>
      <c r="C110" s="43"/>
      <c r="D110" s="12"/>
      <c r="E110" s="17"/>
      <c r="F110" s="43"/>
      <c r="G110" s="11"/>
      <c r="H110" s="43"/>
    </row>
    <row r="111">
      <c r="A111" s="4"/>
      <c r="B111" s="44"/>
      <c r="C111" s="43"/>
      <c r="D111" s="12"/>
      <c r="E111" s="17"/>
      <c r="F111" s="43"/>
      <c r="G111" s="11"/>
      <c r="H111" s="43"/>
    </row>
    <row r="112">
      <c r="A112" s="4"/>
      <c r="B112" s="44"/>
      <c r="C112" s="43"/>
      <c r="D112" s="12"/>
      <c r="E112" s="17"/>
      <c r="F112" s="43"/>
      <c r="G112" s="11"/>
      <c r="H112" s="43"/>
    </row>
    <row r="113">
      <c r="A113" s="4"/>
      <c r="B113" s="44"/>
      <c r="C113" s="43"/>
      <c r="D113" s="12"/>
      <c r="E113" s="17"/>
      <c r="F113" s="43"/>
      <c r="G113" s="11"/>
      <c r="H113" s="43"/>
    </row>
    <row r="114">
      <c r="A114" s="4"/>
      <c r="B114" s="44"/>
      <c r="C114" s="43"/>
      <c r="D114" s="12"/>
      <c r="E114" s="17"/>
      <c r="F114" s="43"/>
      <c r="G114" s="11"/>
      <c r="H114" s="43"/>
    </row>
    <row r="115">
      <c r="A115" s="4"/>
      <c r="B115" s="44"/>
      <c r="C115" s="43"/>
      <c r="D115" s="12"/>
      <c r="E115" s="17"/>
      <c r="F115" s="43"/>
      <c r="G115" s="11"/>
      <c r="H115" s="43"/>
    </row>
    <row r="116">
      <c r="A116" s="4"/>
      <c r="B116" s="44"/>
      <c r="C116" s="43"/>
      <c r="D116" s="12"/>
      <c r="E116" s="17"/>
      <c r="F116" s="43"/>
      <c r="G116" s="11"/>
      <c r="H116" s="43"/>
    </row>
    <row r="117">
      <c r="A117" s="4"/>
      <c r="B117" s="44"/>
      <c r="C117" s="43"/>
      <c r="D117" s="12"/>
      <c r="E117" s="17"/>
      <c r="F117" s="43"/>
      <c r="G117" s="11"/>
      <c r="H117" s="43"/>
    </row>
    <row r="118">
      <c r="A118" s="4"/>
      <c r="B118" s="44"/>
      <c r="C118" s="43"/>
      <c r="D118" s="12"/>
      <c r="E118" s="17"/>
      <c r="F118" s="43"/>
      <c r="G118" s="11"/>
      <c r="H118" s="43"/>
    </row>
    <row r="119">
      <c r="A119" s="4"/>
      <c r="B119" s="44"/>
      <c r="C119" s="43"/>
      <c r="D119" s="12"/>
      <c r="E119" s="17"/>
      <c r="F119" s="43"/>
      <c r="G119" s="11"/>
      <c r="H119" s="43"/>
    </row>
    <row r="120">
      <c r="A120" s="4"/>
      <c r="B120" s="44"/>
      <c r="C120" s="43"/>
      <c r="D120" s="12"/>
      <c r="E120" s="17"/>
      <c r="F120" s="43"/>
      <c r="G120" s="11"/>
      <c r="H120" s="43"/>
    </row>
    <row r="121">
      <c r="A121" s="4"/>
      <c r="B121" s="44"/>
      <c r="C121" s="43"/>
      <c r="D121" s="12"/>
      <c r="E121" s="17"/>
      <c r="F121" s="43"/>
      <c r="G121" s="11"/>
      <c r="H121" s="43"/>
    </row>
    <row r="122">
      <c r="A122" s="4"/>
      <c r="B122" s="44"/>
      <c r="C122" s="43"/>
      <c r="D122" s="12"/>
      <c r="E122" s="17"/>
      <c r="F122" s="43"/>
      <c r="G122" s="11"/>
      <c r="H122" s="43"/>
    </row>
    <row r="123">
      <c r="A123" s="4"/>
      <c r="B123" s="44"/>
      <c r="C123" s="43"/>
      <c r="D123" s="12"/>
      <c r="E123" s="17"/>
      <c r="F123" s="43"/>
      <c r="G123" s="11"/>
      <c r="H123" s="43"/>
    </row>
    <row r="124">
      <c r="A124" s="4"/>
      <c r="B124" s="44"/>
      <c r="C124" s="43"/>
      <c r="D124" s="12"/>
      <c r="E124" s="17"/>
      <c r="F124" s="43"/>
      <c r="G124" s="11"/>
      <c r="H124" s="43"/>
    </row>
    <row r="125">
      <c r="A125" s="4"/>
      <c r="B125" s="44"/>
      <c r="C125" s="43"/>
      <c r="D125" s="12"/>
      <c r="E125" s="17"/>
      <c r="F125" s="43"/>
      <c r="G125" s="11"/>
      <c r="H125" s="43"/>
    </row>
    <row r="126">
      <c r="A126" s="4"/>
      <c r="B126" s="44"/>
      <c r="C126" s="43"/>
      <c r="D126" s="12"/>
      <c r="E126" s="17"/>
      <c r="F126" s="43"/>
      <c r="G126" s="11"/>
      <c r="H126" s="43"/>
    </row>
    <row r="127">
      <c r="A127" s="4"/>
      <c r="B127" s="44"/>
      <c r="C127" s="43"/>
      <c r="D127" s="12"/>
      <c r="E127" s="17"/>
      <c r="F127" s="43"/>
      <c r="G127" s="11"/>
      <c r="H127" s="43"/>
    </row>
    <row r="128">
      <c r="A128" s="4"/>
      <c r="B128" s="44"/>
      <c r="C128" s="43"/>
      <c r="D128" s="12"/>
      <c r="E128" s="17"/>
      <c r="F128" s="43"/>
      <c r="G128" s="11"/>
      <c r="H128" s="43"/>
    </row>
    <row r="129">
      <c r="A129" s="4"/>
      <c r="B129" s="44"/>
      <c r="C129" s="43"/>
      <c r="D129" s="12"/>
      <c r="E129" s="17"/>
      <c r="F129" s="43"/>
      <c r="G129" s="11"/>
      <c r="H129" s="43"/>
    </row>
    <row r="130">
      <c r="C130" s="17"/>
      <c r="E130" s="17"/>
    </row>
    <row r="131">
      <c r="C131" s="17"/>
      <c r="E131" s="17"/>
    </row>
    <row r="132">
      <c r="C132" s="17"/>
      <c r="E132" s="17"/>
    </row>
    <row r="133">
      <c r="C133" s="17"/>
      <c r="E133" s="17"/>
    </row>
    <row r="134">
      <c r="C134" s="17"/>
      <c r="E134" s="17"/>
    </row>
    <row r="135">
      <c r="C135" s="17"/>
      <c r="E135" s="17"/>
    </row>
  </sheetData>
  <mergeCells count="2">
    <mergeCell ref="C2:D2"/>
    <mergeCell ref="E2:I2"/>
  </mergeCells>
  <conditionalFormatting sqref="L6:L66 N6:N66 Y6:AA66 AC6:AC66 J65:K66">
    <cfRule type="cellIs" dxfId="0" priority="1" operator="lessThan">
      <formula>0</formula>
    </cfRule>
  </conditionalFormatting>
  <conditionalFormatting sqref="I6:I66 X6:X66 N69:N86">
    <cfRule type="cellIs" dxfId="0" priority="2" operator="lessThan">
      <formula>0</formula>
    </cfRule>
  </conditionalFormatting>
  <conditionalFormatting sqref="J4:L64">
    <cfRule type="cellIs" dxfId="0" priority="3" operator="lessThan">
      <formula>0</formula>
    </cfRule>
  </conditionalFormatting>
  <conditionalFormatting sqref="J4:L64">
    <cfRule type="cellIs" dxfId="1" priority="4" operator="greaterThanOr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0" width="21.5"/>
    <col customWidth="1" min="12" max="12" width="17.63"/>
    <col customWidth="1" min="13" max="13" width="15.5"/>
    <col customWidth="1" min="14" max="14" width="16.5"/>
  </cols>
  <sheetData>
    <row r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/>
      <c r="B2" s="5"/>
      <c r="C2" s="5"/>
      <c r="D2" s="6" t="s">
        <v>160</v>
      </c>
      <c r="F2" s="6" t="s">
        <v>161</v>
      </c>
      <c r="H2" s="6" t="s">
        <v>162</v>
      </c>
      <c r="J2" s="6" t="s">
        <v>2</v>
      </c>
      <c r="L2" s="5"/>
      <c r="M2" s="5"/>
      <c r="N2" s="3"/>
    </row>
    <row r="3">
      <c r="A3" s="6" t="s">
        <v>154</v>
      </c>
      <c r="B3" s="6" t="s">
        <v>4</v>
      </c>
      <c r="C3" s="6" t="s">
        <v>163</v>
      </c>
      <c r="D3" s="6" t="s">
        <v>7</v>
      </c>
      <c r="E3" s="6" t="s">
        <v>6</v>
      </c>
      <c r="F3" s="6" t="s">
        <v>7</v>
      </c>
      <c r="G3" s="6" t="s">
        <v>6</v>
      </c>
      <c r="H3" s="6" t="s">
        <v>7</v>
      </c>
      <c r="I3" s="6" t="s">
        <v>6</v>
      </c>
      <c r="J3" s="6" t="s">
        <v>7</v>
      </c>
      <c r="K3" s="6" t="s">
        <v>6</v>
      </c>
      <c r="L3" s="6" t="s">
        <v>164</v>
      </c>
      <c r="M3" s="6" t="s">
        <v>165</v>
      </c>
      <c r="N3" s="6" t="s">
        <v>166</v>
      </c>
    </row>
    <row r="4">
      <c r="A4" s="5" t="s">
        <v>156</v>
      </c>
      <c r="B4" s="49">
        <v>2.0</v>
      </c>
      <c r="C4" s="49">
        <v>1.0</v>
      </c>
      <c r="D4" s="50">
        <v>104.0</v>
      </c>
      <c r="E4" s="50">
        <v>1200041.0</v>
      </c>
      <c r="F4" s="50">
        <v>113.0</v>
      </c>
      <c r="G4" s="50">
        <v>1199949.0</v>
      </c>
      <c r="H4" s="51">
        <v>141.0</v>
      </c>
      <c r="I4" s="50">
        <v>1210000.0</v>
      </c>
      <c r="J4" s="33">
        <v>71.0</v>
      </c>
      <c r="K4" s="33">
        <v>57017.0</v>
      </c>
      <c r="L4" s="32">
        <f t="shared" ref="L4:L613" si="1">(J4 - D4) / D4 * 100</f>
        <v>-31.73076923</v>
      </c>
      <c r="M4" s="32">
        <f t="shared" ref="M4:M613" si="2">(J4 - F4) / F4 * 100</f>
        <v>-37.16814159</v>
      </c>
      <c r="N4" s="32">
        <f t="shared" ref="N4:N613" si="3">(J4 - H4) / H4 * 100</f>
        <v>-49.64539007</v>
      </c>
      <c r="Q4" s="2"/>
      <c r="R4" s="2"/>
      <c r="S4" s="5"/>
      <c r="T4" s="5"/>
      <c r="U4" s="5"/>
      <c r="V4" s="5"/>
      <c r="W4" s="2"/>
      <c r="X4" s="3"/>
      <c r="Y4" s="3"/>
      <c r="Z4" s="3"/>
      <c r="AA4" s="3"/>
      <c r="AB4" s="3"/>
    </row>
    <row r="5">
      <c r="A5" s="5" t="s">
        <v>156</v>
      </c>
      <c r="B5" s="49">
        <v>2.0</v>
      </c>
      <c r="C5" s="49">
        <v>2.0</v>
      </c>
      <c r="D5" s="50">
        <v>101.0</v>
      </c>
      <c r="E5" s="50">
        <v>1199964.0</v>
      </c>
      <c r="F5" s="50">
        <v>116.0</v>
      </c>
      <c r="G5" s="50">
        <v>1200004.0</v>
      </c>
      <c r="H5" s="51">
        <v>147.0</v>
      </c>
      <c r="I5" s="50">
        <v>1210000.0</v>
      </c>
      <c r="J5" s="33">
        <v>72.0</v>
      </c>
      <c r="K5" s="33">
        <v>54626.0</v>
      </c>
      <c r="L5" s="32">
        <f t="shared" si="1"/>
        <v>-28.71287129</v>
      </c>
      <c r="M5" s="32">
        <f t="shared" si="2"/>
        <v>-37.93103448</v>
      </c>
      <c r="N5" s="32">
        <f t="shared" si="3"/>
        <v>-51.02040816</v>
      </c>
      <c r="Q5" s="2"/>
      <c r="R5" s="2"/>
      <c r="S5" s="5"/>
      <c r="T5" s="5"/>
      <c r="U5" s="5"/>
      <c r="V5" s="5"/>
      <c r="W5" s="2"/>
      <c r="X5" s="3"/>
      <c r="Y5" s="3"/>
      <c r="Z5" s="3"/>
      <c r="AA5" s="3"/>
      <c r="AB5" s="3"/>
    </row>
    <row r="6">
      <c r="A6" s="5" t="s">
        <v>156</v>
      </c>
      <c r="B6" s="49">
        <v>2.0</v>
      </c>
      <c r="C6" s="49">
        <v>3.0</v>
      </c>
      <c r="D6" s="50">
        <v>98.0</v>
      </c>
      <c r="E6" s="50">
        <v>1199826.0</v>
      </c>
      <c r="F6" s="50">
        <v>113.0</v>
      </c>
      <c r="G6" s="50">
        <v>1199963.0</v>
      </c>
      <c r="H6" s="51">
        <v>137.0</v>
      </c>
      <c r="I6" s="50">
        <v>1210000.0</v>
      </c>
      <c r="J6" s="33">
        <v>70.0</v>
      </c>
      <c r="K6" s="33">
        <v>54314.0</v>
      </c>
      <c r="L6" s="32">
        <f t="shared" si="1"/>
        <v>-28.57142857</v>
      </c>
      <c r="M6" s="32">
        <f t="shared" si="2"/>
        <v>-38.05309735</v>
      </c>
      <c r="N6" s="32">
        <f t="shared" si="3"/>
        <v>-48.90510949</v>
      </c>
      <c r="O6" s="25"/>
      <c r="Q6" s="46"/>
      <c r="R6" s="2"/>
      <c r="S6" s="14"/>
      <c r="T6" s="17"/>
      <c r="U6" s="17"/>
      <c r="V6" s="17"/>
      <c r="W6" s="2"/>
      <c r="X6" s="2"/>
      <c r="Y6" s="2"/>
      <c r="Z6" s="20"/>
      <c r="AA6" s="25"/>
      <c r="AB6" s="25"/>
      <c r="AD6" s="25"/>
    </row>
    <row r="7">
      <c r="A7" s="5" t="s">
        <v>156</v>
      </c>
      <c r="B7" s="49">
        <v>2.0</v>
      </c>
      <c r="C7" s="49">
        <v>4.0</v>
      </c>
      <c r="D7" s="50">
        <v>100.0</v>
      </c>
      <c r="E7" s="50">
        <v>1199961.0</v>
      </c>
      <c r="F7" s="50">
        <v>110.0</v>
      </c>
      <c r="G7" s="50">
        <v>1200003.0</v>
      </c>
      <c r="H7" s="51">
        <v>136.0</v>
      </c>
      <c r="I7" s="50">
        <v>1210000.0</v>
      </c>
      <c r="J7" s="33">
        <v>70.0</v>
      </c>
      <c r="K7" s="33">
        <v>54507.0</v>
      </c>
      <c r="L7" s="32">
        <f t="shared" si="1"/>
        <v>-30</v>
      </c>
      <c r="M7" s="32">
        <f t="shared" si="2"/>
        <v>-36.36363636</v>
      </c>
      <c r="N7" s="32">
        <f t="shared" si="3"/>
        <v>-48.52941176</v>
      </c>
      <c r="O7" s="25"/>
      <c r="Q7" s="46"/>
      <c r="R7" s="2"/>
      <c r="S7" s="14"/>
      <c r="T7" s="17"/>
      <c r="U7" s="17"/>
      <c r="V7" s="17"/>
      <c r="W7" s="2"/>
      <c r="X7" s="2"/>
      <c r="Y7" s="2"/>
      <c r="Z7" s="25"/>
      <c r="AA7" s="25"/>
      <c r="AB7" s="25"/>
      <c r="AD7" s="25"/>
    </row>
    <row r="8">
      <c r="A8" s="5" t="s">
        <v>156</v>
      </c>
      <c r="B8" s="49">
        <v>2.0</v>
      </c>
      <c r="C8" s="49">
        <v>5.0</v>
      </c>
      <c r="D8" s="50">
        <v>108.0</v>
      </c>
      <c r="E8" s="50">
        <v>1199828.0</v>
      </c>
      <c r="F8" s="50">
        <v>116.0</v>
      </c>
      <c r="G8" s="50">
        <v>1199974.0</v>
      </c>
      <c r="H8" s="51">
        <v>143.0</v>
      </c>
      <c r="I8" s="50">
        <v>1210000.0</v>
      </c>
      <c r="J8" s="33">
        <v>77.0</v>
      </c>
      <c r="K8" s="33">
        <v>56513.0</v>
      </c>
      <c r="L8" s="32">
        <f t="shared" si="1"/>
        <v>-28.7037037</v>
      </c>
      <c r="M8" s="32">
        <f t="shared" si="2"/>
        <v>-33.62068966</v>
      </c>
      <c r="N8" s="32">
        <f t="shared" si="3"/>
        <v>-46.15384615</v>
      </c>
      <c r="O8" s="25"/>
      <c r="Q8" s="46"/>
      <c r="R8" s="2"/>
      <c r="S8" s="14"/>
      <c r="T8" s="17"/>
      <c r="U8" s="17"/>
      <c r="V8" s="17"/>
      <c r="W8" s="2"/>
      <c r="X8" s="2"/>
      <c r="Y8" s="2"/>
      <c r="Z8" s="25"/>
      <c r="AA8" s="25"/>
      <c r="AB8" s="25"/>
      <c r="AD8" s="25"/>
    </row>
    <row r="9">
      <c r="A9" s="5" t="s">
        <v>156</v>
      </c>
      <c r="B9" s="49">
        <v>2.0</v>
      </c>
      <c r="C9" s="49">
        <v>6.0</v>
      </c>
      <c r="D9" s="50">
        <v>96.0</v>
      </c>
      <c r="E9" s="50">
        <v>1200200.0</v>
      </c>
      <c r="F9" s="50">
        <v>104.0</v>
      </c>
      <c r="G9" s="50">
        <v>1080173.0</v>
      </c>
      <c r="H9" s="51">
        <v>135.0</v>
      </c>
      <c r="I9" s="50">
        <v>1210000.0</v>
      </c>
      <c r="J9" s="33">
        <v>65.0</v>
      </c>
      <c r="K9" s="33">
        <v>53067.0</v>
      </c>
      <c r="L9" s="32">
        <f t="shared" si="1"/>
        <v>-32.29166667</v>
      </c>
      <c r="M9" s="32">
        <f t="shared" si="2"/>
        <v>-37.5</v>
      </c>
      <c r="N9" s="32">
        <f t="shared" si="3"/>
        <v>-51.85185185</v>
      </c>
      <c r="O9" s="25"/>
      <c r="Q9" s="46"/>
      <c r="R9" s="2"/>
      <c r="S9" s="14"/>
      <c r="T9" s="17"/>
      <c r="U9" s="17"/>
      <c r="V9" s="17"/>
      <c r="W9" s="2"/>
      <c r="X9" s="2"/>
      <c r="Y9" s="2"/>
      <c r="Z9" s="25"/>
      <c r="AA9" s="25"/>
      <c r="AB9" s="25"/>
      <c r="AD9" s="25"/>
    </row>
    <row r="10">
      <c r="A10" s="5" t="s">
        <v>156</v>
      </c>
      <c r="B10" s="49">
        <v>2.0</v>
      </c>
      <c r="C10" s="49">
        <v>7.0</v>
      </c>
      <c r="D10" s="50">
        <v>88.0</v>
      </c>
      <c r="E10" s="50">
        <v>1200081.0</v>
      </c>
      <c r="F10" s="50">
        <v>98.0</v>
      </c>
      <c r="G10" s="50">
        <v>1199970.0</v>
      </c>
      <c r="H10" s="51">
        <v>128.0</v>
      </c>
      <c r="I10" s="50">
        <v>1210000.0</v>
      </c>
      <c r="J10" s="33">
        <v>60.0</v>
      </c>
      <c r="K10" s="33">
        <v>54905.0</v>
      </c>
      <c r="L10" s="32">
        <f t="shared" si="1"/>
        <v>-31.81818182</v>
      </c>
      <c r="M10" s="32">
        <f t="shared" si="2"/>
        <v>-38.7755102</v>
      </c>
      <c r="N10" s="32">
        <f t="shared" si="3"/>
        <v>-53.125</v>
      </c>
      <c r="O10" s="25"/>
      <c r="Q10" s="46"/>
      <c r="R10" s="2"/>
      <c r="S10" s="14"/>
      <c r="T10" s="17"/>
      <c r="U10" s="17"/>
      <c r="V10" s="17"/>
      <c r="W10" s="2"/>
      <c r="X10" s="2"/>
      <c r="Y10" s="2"/>
      <c r="Z10" s="25"/>
      <c r="AA10" s="25"/>
      <c r="AB10" s="25"/>
      <c r="AD10" s="25"/>
    </row>
    <row r="11">
      <c r="A11" s="5" t="s">
        <v>156</v>
      </c>
      <c r="B11" s="49">
        <v>2.0</v>
      </c>
      <c r="C11" s="49">
        <v>8.0</v>
      </c>
      <c r="D11" s="50">
        <v>112.0</v>
      </c>
      <c r="E11" s="50">
        <v>1200238.0</v>
      </c>
      <c r="F11" s="50">
        <v>115.0</v>
      </c>
      <c r="G11" s="50">
        <v>1200003.0</v>
      </c>
      <c r="H11" s="51">
        <v>147.0</v>
      </c>
      <c r="I11" s="50">
        <v>1210000.0</v>
      </c>
      <c r="J11" s="33">
        <v>76.0</v>
      </c>
      <c r="K11" s="33">
        <v>54783.0</v>
      </c>
      <c r="L11" s="32">
        <f t="shared" si="1"/>
        <v>-32.14285714</v>
      </c>
      <c r="M11" s="32">
        <f t="shared" si="2"/>
        <v>-33.91304348</v>
      </c>
      <c r="N11" s="32">
        <f t="shared" si="3"/>
        <v>-48.29931973</v>
      </c>
      <c r="O11" s="25"/>
      <c r="Q11" s="46"/>
      <c r="R11" s="2"/>
      <c r="S11" s="14"/>
      <c r="T11" s="17"/>
      <c r="U11" s="17"/>
      <c r="V11" s="17"/>
      <c r="W11" s="2"/>
      <c r="X11" s="2"/>
      <c r="Y11" s="2"/>
      <c r="Z11" s="25"/>
      <c r="AA11" s="25"/>
      <c r="AB11" s="25"/>
      <c r="AD11" s="25"/>
    </row>
    <row r="12">
      <c r="A12" s="5" t="s">
        <v>156</v>
      </c>
      <c r="B12" s="49">
        <v>2.0</v>
      </c>
      <c r="C12" s="49">
        <v>9.0</v>
      </c>
      <c r="D12" s="50">
        <v>101.0</v>
      </c>
      <c r="E12" s="50">
        <v>1200168.0</v>
      </c>
      <c r="F12" s="50">
        <v>109.0</v>
      </c>
      <c r="G12" s="50">
        <v>1200029.0</v>
      </c>
      <c r="H12" s="51">
        <v>140.0</v>
      </c>
      <c r="I12" s="50">
        <v>1210000.0</v>
      </c>
      <c r="J12" s="33">
        <v>69.0</v>
      </c>
      <c r="K12" s="33">
        <v>55169.0</v>
      </c>
      <c r="L12" s="32">
        <f t="shared" si="1"/>
        <v>-31.68316832</v>
      </c>
      <c r="M12" s="32">
        <f t="shared" si="2"/>
        <v>-36.69724771</v>
      </c>
      <c r="N12" s="32">
        <f t="shared" si="3"/>
        <v>-50.71428571</v>
      </c>
      <c r="O12" s="25"/>
      <c r="Q12" s="46"/>
      <c r="R12" s="2"/>
      <c r="S12" s="14"/>
      <c r="T12" s="17"/>
      <c r="U12" s="17"/>
      <c r="V12" s="17"/>
      <c r="W12" s="2"/>
      <c r="X12" s="2"/>
      <c r="Y12" s="2"/>
      <c r="Z12" s="25"/>
      <c r="AA12" s="25"/>
      <c r="AB12" s="25"/>
      <c r="AD12" s="25"/>
    </row>
    <row r="13">
      <c r="A13" s="5" t="s">
        <v>156</v>
      </c>
      <c r="B13" s="49">
        <v>2.0</v>
      </c>
      <c r="C13" s="49">
        <v>10.0</v>
      </c>
      <c r="D13" s="50">
        <v>104.0</v>
      </c>
      <c r="E13" s="50">
        <v>1200048.0</v>
      </c>
      <c r="F13" s="50">
        <v>122.0</v>
      </c>
      <c r="G13" s="50">
        <v>1199986.0</v>
      </c>
      <c r="H13" s="51">
        <v>142.0</v>
      </c>
      <c r="I13" s="50">
        <v>1210000.0</v>
      </c>
      <c r="J13" s="33">
        <v>74.0</v>
      </c>
      <c r="K13" s="33">
        <v>58613.0</v>
      </c>
      <c r="L13" s="32">
        <f t="shared" si="1"/>
        <v>-28.84615385</v>
      </c>
      <c r="M13" s="32">
        <f t="shared" si="2"/>
        <v>-39.3442623</v>
      </c>
      <c r="N13" s="32">
        <f t="shared" si="3"/>
        <v>-47.88732394</v>
      </c>
      <c r="O13" s="25"/>
      <c r="Q13" s="46"/>
      <c r="R13" s="2"/>
      <c r="S13" s="14"/>
      <c r="T13" s="17"/>
      <c r="U13" s="17"/>
      <c r="V13" s="17"/>
      <c r="W13" s="2"/>
      <c r="X13" s="2"/>
      <c r="Y13" s="2"/>
      <c r="Z13" s="25"/>
      <c r="AA13" s="25"/>
      <c r="AB13" s="25"/>
      <c r="AD13" s="25"/>
    </row>
    <row r="14">
      <c r="A14" s="5" t="s">
        <v>156</v>
      </c>
      <c r="B14" s="49">
        <v>4.0</v>
      </c>
      <c r="C14" s="49">
        <v>1.0</v>
      </c>
      <c r="D14" s="50">
        <v>181.0</v>
      </c>
      <c r="E14" s="50">
        <v>1200103.0</v>
      </c>
      <c r="F14" s="50">
        <v>195.0</v>
      </c>
      <c r="G14" s="50">
        <v>1080164.0</v>
      </c>
      <c r="H14" s="51">
        <v>221.0</v>
      </c>
      <c r="I14" s="50">
        <v>1210000.0</v>
      </c>
      <c r="J14" s="33">
        <v>145.0</v>
      </c>
      <c r="K14" s="33">
        <v>62655.0</v>
      </c>
      <c r="L14" s="32">
        <f t="shared" si="1"/>
        <v>-19.88950276</v>
      </c>
      <c r="M14" s="32">
        <f t="shared" si="2"/>
        <v>-25.64102564</v>
      </c>
      <c r="N14" s="32">
        <f t="shared" si="3"/>
        <v>-34.38914027</v>
      </c>
      <c r="O14" s="25"/>
      <c r="Q14" s="46"/>
      <c r="R14" s="2"/>
      <c r="S14" s="14"/>
      <c r="T14" s="17"/>
      <c r="U14" s="17"/>
      <c r="V14" s="17"/>
      <c r="W14" s="2"/>
      <c r="X14" s="2"/>
      <c r="Y14" s="2"/>
      <c r="Z14" s="25"/>
      <c r="AA14" s="25"/>
      <c r="AB14" s="25"/>
      <c r="AD14" s="25"/>
    </row>
    <row r="15">
      <c r="A15" s="5" t="s">
        <v>156</v>
      </c>
      <c r="B15" s="49">
        <v>4.0</v>
      </c>
      <c r="C15" s="49">
        <v>2.0</v>
      </c>
      <c r="D15" s="50">
        <v>195.0</v>
      </c>
      <c r="E15" s="50">
        <v>1200208.0</v>
      </c>
      <c r="F15" s="50">
        <v>215.0</v>
      </c>
      <c r="G15" s="50">
        <v>1200019.0</v>
      </c>
      <c r="H15" s="51">
        <v>230.0</v>
      </c>
      <c r="I15" s="50">
        <v>1210000.0</v>
      </c>
      <c r="J15" s="33">
        <v>160.0</v>
      </c>
      <c r="K15" s="33">
        <v>67877.0</v>
      </c>
      <c r="L15" s="32">
        <f t="shared" si="1"/>
        <v>-17.94871795</v>
      </c>
      <c r="M15" s="32">
        <f t="shared" si="2"/>
        <v>-25.58139535</v>
      </c>
      <c r="N15" s="32">
        <f t="shared" si="3"/>
        <v>-30.43478261</v>
      </c>
      <c r="O15" s="25"/>
      <c r="Q15" s="46"/>
      <c r="R15" s="2"/>
      <c r="S15" s="14"/>
      <c r="T15" s="17"/>
      <c r="U15" s="17"/>
      <c r="V15" s="17"/>
      <c r="W15" s="2"/>
      <c r="X15" s="2"/>
      <c r="Y15" s="2"/>
      <c r="Z15" s="25"/>
      <c r="AA15" s="25"/>
      <c r="AB15" s="25"/>
      <c r="AD15" s="25"/>
    </row>
    <row r="16">
      <c r="A16" s="5" t="s">
        <v>156</v>
      </c>
      <c r="B16" s="49">
        <v>4.0</v>
      </c>
      <c r="C16" s="49">
        <v>3.0</v>
      </c>
      <c r="D16" s="50">
        <v>190.0</v>
      </c>
      <c r="E16" s="50">
        <v>1199880.0</v>
      </c>
      <c r="F16" s="50">
        <v>211.0</v>
      </c>
      <c r="G16" s="50">
        <v>1080175.0</v>
      </c>
      <c r="H16" s="51">
        <v>229.0</v>
      </c>
      <c r="I16" s="50">
        <v>1210000.0</v>
      </c>
      <c r="J16" s="33">
        <v>161.0</v>
      </c>
      <c r="K16" s="33">
        <v>67884.0</v>
      </c>
      <c r="L16" s="32">
        <f t="shared" si="1"/>
        <v>-15.26315789</v>
      </c>
      <c r="M16" s="32">
        <f t="shared" si="2"/>
        <v>-23.69668246</v>
      </c>
      <c r="N16" s="32">
        <f t="shared" si="3"/>
        <v>-29.69432314</v>
      </c>
      <c r="O16" s="25"/>
      <c r="Q16" s="46"/>
      <c r="R16" s="2"/>
      <c r="S16" s="14"/>
      <c r="T16" s="17"/>
      <c r="U16" s="17"/>
      <c r="V16" s="17"/>
      <c r="W16" s="2"/>
      <c r="X16" s="2"/>
      <c r="Y16" s="2"/>
      <c r="Z16" s="25"/>
      <c r="AA16" s="25"/>
      <c r="AB16" s="25"/>
      <c r="AD16" s="25"/>
    </row>
    <row r="17">
      <c r="A17" s="5" t="s">
        <v>156</v>
      </c>
      <c r="B17" s="49">
        <v>4.0</v>
      </c>
      <c r="C17" s="49">
        <v>4.0</v>
      </c>
      <c r="D17" s="50">
        <v>193.0</v>
      </c>
      <c r="E17" s="50">
        <v>1200194.0</v>
      </c>
      <c r="F17" s="50">
        <v>210.0</v>
      </c>
      <c r="G17" s="50">
        <v>1200018.0</v>
      </c>
      <c r="H17" s="51">
        <v>233.0</v>
      </c>
      <c r="I17" s="50">
        <v>1210000.0</v>
      </c>
      <c r="J17" s="33">
        <v>162.0</v>
      </c>
      <c r="K17" s="33">
        <v>69929.0</v>
      </c>
      <c r="L17" s="32">
        <f t="shared" si="1"/>
        <v>-16.06217617</v>
      </c>
      <c r="M17" s="32">
        <f t="shared" si="2"/>
        <v>-22.85714286</v>
      </c>
      <c r="N17" s="32">
        <f t="shared" si="3"/>
        <v>-30.472103</v>
      </c>
      <c r="O17" s="25"/>
      <c r="Q17" s="46"/>
      <c r="R17" s="2"/>
      <c r="S17" s="14"/>
      <c r="T17" s="17"/>
      <c r="U17" s="17"/>
      <c r="V17" s="17"/>
      <c r="W17" s="2"/>
      <c r="X17" s="2"/>
      <c r="Y17" s="2"/>
      <c r="Z17" s="25"/>
      <c r="AA17" s="25"/>
      <c r="AB17" s="25"/>
      <c r="AD17" s="25"/>
    </row>
    <row r="18">
      <c r="A18" s="5" t="s">
        <v>156</v>
      </c>
      <c r="B18" s="49">
        <v>4.0</v>
      </c>
      <c r="C18" s="49">
        <v>5.0</v>
      </c>
      <c r="D18" s="50">
        <v>199.0</v>
      </c>
      <c r="E18" s="50">
        <v>1199936.0</v>
      </c>
      <c r="F18" s="50">
        <v>212.0</v>
      </c>
      <c r="G18" s="50">
        <v>1199998.0</v>
      </c>
      <c r="H18" s="51">
        <v>237.0</v>
      </c>
      <c r="I18" s="50">
        <v>1210000.0</v>
      </c>
      <c r="J18" s="33">
        <v>168.0</v>
      </c>
      <c r="K18" s="33">
        <v>70503.0</v>
      </c>
      <c r="L18" s="32">
        <f t="shared" si="1"/>
        <v>-15.57788945</v>
      </c>
      <c r="M18" s="32">
        <f t="shared" si="2"/>
        <v>-20.75471698</v>
      </c>
      <c r="N18" s="32">
        <f t="shared" si="3"/>
        <v>-29.11392405</v>
      </c>
      <c r="O18" s="25"/>
      <c r="Q18" s="46"/>
      <c r="R18" s="2"/>
      <c r="S18" s="14"/>
      <c r="T18" s="17"/>
      <c r="U18" s="17"/>
      <c r="V18" s="17"/>
      <c r="W18" s="2"/>
      <c r="X18" s="2"/>
      <c r="Y18" s="2"/>
      <c r="Z18" s="25"/>
      <c r="AA18" s="25"/>
      <c r="AB18" s="25"/>
      <c r="AD18" s="25"/>
    </row>
    <row r="19">
      <c r="A19" s="5" t="s">
        <v>156</v>
      </c>
      <c r="B19" s="49">
        <v>4.0</v>
      </c>
      <c r="C19" s="49">
        <v>6.0</v>
      </c>
      <c r="D19" s="50">
        <v>204.0</v>
      </c>
      <c r="E19" s="50">
        <v>1200112.0</v>
      </c>
      <c r="F19" s="50">
        <v>212.0</v>
      </c>
      <c r="G19" s="50">
        <v>1199998.0</v>
      </c>
      <c r="H19" s="51">
        <v>241.0</v>
      </c>
      <c r="I19" s="50">
        <v>1210000.0</v>
      </c>
      <c r="J19" s="33">
        <v>168.0</v>
      </c>
      <c r="K19" s="33">
        <v>72341.0</v>
      </c>
      <c r="L19" s="32">
        <f t="shared" si="1"/>
        <v>-17.64705882</v>
      </c>
      <c r="M19" s="32">
        <f t="shared" si="2"/>
        <v>-20.75471698</v>
      </c>
      <c r="N19" s="32">
        <f t="shared" si="3"/>
        <v>-30.29045643</v>
      </c>
      <c r="O19" s="25"/>
      <c r="Q19" s="46"/>
      <c r="R19" s="2"/>
      <c r="S19" s="14"/>
      <c r="T19" s="17"/>
      <c r="U19" s="17"/>
      <c r="V19" s="17"/>
      <c r="W19" s="2"/>
      <c r="X19" s="2"/>
      <c r="Y19" s="2"/>
      <c r="Z19" s="25"/>
      <c r="AA19" s="25"/>
      <c r="AB19" s="25"/>
      <c r="AD19" s="25"/>
    </row>
    <row r="20">
      <c r="A20" s="5" t="s">
        <v>156</v>
      </c>
      <c r="B20" s="49">
        <v>4.0</v>
      </c>
      <c r="C20" s="49">
        <v>7.0</v>
      </c>
      <c r="D20" s="50">
        <v>191.0</v>
      </c>
      <c r="E20" s="50">
        <v>1200199.0</v>
      </c>
      <c r="F20" s="50">
        <v>206.0</v>
      </c>
      <c r="G20" s="50">
        <v>1199990.0</v>
      </c>
      <c r="H20" s="51">
        <v>229.0</v>
      </c>
      <c r="I20" s="50">
        <v>1210000.0</v>
      </c>
      <c r="J20" s="33">
        <v>158.0</v>
      </c>
      <c r="K20" s="33">
        <v>67128.0</v>
      </c>
      <c r="L20" s="32">
        <f t="shared" si="1"/>
        <v>-17.27748691</v>
      </c>
      <c r="M20" s="32">
        <f t="shared" si="2"/>
        <v>-23.30097087</v>
      </c>
      <c r="N20" s="32">
        <f t="shared" si="3"/>
        <v>-31.00436681</v>
      </c>
      <c r="O20" s="25"/>
      <c r="Q20" s="46"/>
      <c r="R20" s="2"/>
      <c r="S20" s="14"/>
      <c r="T20" s="17"/>
      <c r="U20" s="17"/>
      <c r="V20" s="17"/>
      <c r="W20" s="2"/>
      <c r="X20" s="2"/>
      <c r="Y20" s="2"/>
      <c r="Z20" s="25"/>
      <c r="AA20" s="25"/>
      <c r="AB20" s="25"/>
      <c r="AD20" s="25"/>
    </row>
    <row r="21">
      <c r="A21" s="5" t="s">
        <v>156</v>
      </c>
      <c r="B21" s="49">
        <v>4.0</v>
      </c>
      <c r="C21" s="49">
        <v>8.0</v>
      </c>
      <c r="D21" s="50">
        <v>198.0</v>
      </c>
      <c r="E21" s="50">
        <v>1199934.0</v>
      </c>
      <c r="F21" s="50">
        <v>208.0</v>
      </c>
      <c r="G21" s="50">
        <v>1200006.0</v>
      </c>
      <c r="H21" s="51">
        <v>239.0</v>
      </c>
      <c r="I21" s="50">
        <v>1210000.0</v>
      </c>
      <c r="J21" s="33">
        <v>168.0</v>
      </c>
      <c r="K21" s="33">
        <v>70814.0</v>
      </c>
      <c r="L21" s="32">
        <f t="shared" si="1"/>
        <v>-15.15151515</v>
      </c>
      <c r="M21" s="32">
        <f t="shared" si="2"/>
        <v>-19.23076923</v>
      </c>
      <c r="N21" s="32">
        <f t="shared" si="3"/>
        <v>-29.70711297</v>
      </c>
      <c r="O21" s="25"/>
      <c r="Q21" s="46"/>
      <c r="R21" s="2"/>
      <c r="S21" s="14"/>
      <c r="T21" s="17"/>
      <c r="U21" s="17"/>
      <c r="V21" s="17"/>
      <c r="W21" s="2"/>
      <c r="X21" s="2"/>
      <c r="Y21" s="2"/>
      <c r="Z21" s="25"/>
      <c r="AA21" s="25"/>
      <c r="AB21" s="25"/>
      <c r="AD21" s="25"/>
    </row>
    <row r="22">
      <c r="A22" s="5" t="s">
        <v>156</v>
      </c>
      <c r="B22" s="49">
        <v>4.0</v>
      </c>
      <c r="C22" s="49">
        <v>9.0</v>
      </c>
      <c r="D22" s="50">
        <v>200.0</v>
      </c>
      <c r="E22" s="50">
        <v>1199922.0</v>
      </c>
      <c r="F22" s="50">
        <v>227.0</v>
      </c>
      <c r="G22" s="50">
        <v>1199962.0</v>
      </c>
      <c r="H22" s="51">
        <v>244.0</v>
      </c>
      <c r="I22" s="50">
        <v>1210000.0</v>
      </c>
      <c r="J22" s="33">
        <v>170.0</v>
      </c>
      <c r="K22" s="33">
        <v>66899.0</v>
      </c>
      <c r="L22" s="32">
        <f t="shared" si="1"/>
        <v>-15</v>
      </c>
      <c r="M22" s="32">
        <f t="shared" si="2"/>
        <v>-25.11013216</v>
      </c>
      <c r="N22" s="32">
        <f t="shared" si="3"/>
        <v>-30.32786885</v>
      </c>
      <c r="O22" s="25"/>
      <c r="Q22" s="46"/>
      <c r="R22" s="2"/>
      <c r="S22" s="14"/>
      <c r="T22" s="17"/>
      <c r="U22" s="17"/>
      <c r="V22" s="17"/>
      <c r="W22" s="2"/>
      <c r="X22" s="2"/>
      <c r="Y22" s="2"/>
      <c r="Z22" s="25"/>
      <c r="AA22" s="25"/>
      <c r="AB22" s="25"/>
      <c r="AD22" s="25"/>
    </row>
    <row r="23">
      <c r="A23" s="5" t="s">
        <v>156</v>
      </c>
      <c r="B23" s="49">
        <v>4.0</v>
      </c>
      <c r="C23" s="49">
        <v>10.0</v>
      </c>
      <c r="D23" s="50">
        <v>201.0</v>
      </c>
      <c r="E23" s="50">
        <v>1200173.0</v>
      </c>
      <c r="F23" s="50">
        <v>227.0</v>
      </c>
      <c r="G23" s="50">
        <v>1200020.0</v>
      </c>
      <c r="H23" s="51">
        <v>237.0</v>
      </c>
      <c r="I23" s="50">
        <v>1210000.0</v>
      </c>
      <c r="J23" s="33">
        <v>167.0</v>
      </c>
      <c r="K23" s="33">
        <v>71008.0</v>
      </c>
      <c r="L23" s="32">
        <f t="shared" si="1"/>
        <v>-16.91542289</v>
      </c>
      <c r="M23" s="32">
        <f t="shared" si="2"/>
        <v>-26.43171806</v>
      </c>
      <c r="N23" s="32">
        <f t="shared" si="3"/>
        <v>-29.53586498</v>
      </c>
      <c r="O23" s="25"/>
      <c r="Q23" s="46"/>
      <c r="R23" s="2"/>
      <c r="S23" s="14"/>
      <c r="T23" s="17"/>
      <c r="U23" s="17"/>
      <c r="V23" s="17"/>
      <c r="W23" s="2"/>
      <c r="X23" s="2"/>
      <c r="Y23" s="2"/>
      <c r="Z23" s="25"/>
      <c r="AA23" s="25"/>
      <c r="AB23" s="25"/>
      <c r="AD23" s="25"/>
    </row>
    <row r="24">
      <c r="A24" s="5" t="s">
        <v>156</v>
      </c>
      <c r="B24" s="49">
        <v>6.0</v>
      </c>
      <c r="C24" s="49">
        <v>1.0</v>
      </c>
      <c r="D24" s="50">
        <v>260.0</v>
      </c>
      <c r="E24" s="50">
        <v>1199972.0</v>
      </c>
      <c r="F24" s="50">
        <v>281.0</v>
      </c>
      <c r="G24" s="50">
        <v>1200050.0</v>
      </c>
      <c r="H24" s="51">
        <v>296.0</v>
      </c>
      <c r="I24" s="50">
        <v>1210000.0</v>
      </c>
      <c r="J24" s="33">
        <v>232.0</v>
      </c>
      <c r="K24" s="33">
        <v>81664.0</v>
      </c>
      <c r="L24" s="32">
        <f t="shared" si="1"/>
        <v>-10.76923077</v>
      </c>
      <c r="M24" s="32">
        <f t="shared" si="2"/>
        <v>-17.43772242</v>
      </c>
      <c r="N24" s="32">
        <f t="shared" si="3"/>
        <v>-21.62162162</v>
      </c>
      <c r="O24" s="25"/>
      <c r="Q24" s="46"/>
      <c r="R24" s="2"/>
      <c r="S24" s="14"/>
      <c r="T24" s="17"/>
      <c r="U24" s="17"/>
      <c r="V24" s="17"/>
      <c r="W24" s="2"/>
      <c r="X24" s="2"/>
      <c r="Y24" s="2"/>
      <c r="Z24" s="25"/>
      <c r="AA24" s="25"/>
      <c r="AB24" s="25"/>
      <c r="AD24" s="25"/>
    </row>
    <row r="25">
      <c r="A25" s="5" t="s">
        <v>156</v>
      </c>
      <c r="B25" s="49">
        <v>6.0</v>
      </c>
      <c r="C25" s="49">
        <v>2.0</v>
      </c>
      <c r="D25" s="50">
        <v>272.0</v>
      </c>
      <c r="E25" s="50">
        <v>1200097.0</v>
      </c>
      <c r="F25" s="50">
        <v>298.0</v>
      </c>
      <c r="G25" s="50">
        <v>1199946.0</v>
      </c>
      <c r="H25" s="51">
        <v>301.0</v>
      </c>
      <c r="I25" s="50">
        <v>1210000.0</v>
      </c>
      <c r="J25" s="33">
        <v>239.0</v>
      </c>
      <c r="K25" s="33">
        <v>82623.0</v>
      </c>
      <c r="L25" s="32">
        <f t="shared" si="1"/>
        <v>-12.13235294</v>
      </c>
      <c r="M25" s="32">
        <f t="shared" si="2"/>
        <v>-19.79865772</v>
      </c>
      <c r="N25" s="32">
        <f t="shared" si="3"/>
        <v>-20.59800664</v>
      </c>
      <c r="O25" s="25"/>
      <c r="Q25" s="46"/>
      <c r="R25" s="2"/>
      <c r="S25" s="14"/>
      <c r="T25" s="17"/>
      <c r="U25" s="17"/>
      <c r="V25" s="17"/>
      <c r="W25" s="2"/>
      <c r="X25" s="2"/>
      <c r="Y25" s="2"/>
      <c r="Z25" s="25"/>
      <c r="AA25" s="25"/>
      <c r="AB25" s="25"/>
      <c r="AD25" s="25"/>
    </row>
    <row r="26">
      <c r="A26" s="5" t="s">
        <v>156</v>
      </c>
      <c r="B26" s="49">
        <v>6.0</v>
      </c>
      <c r="C26" s="49">
        <v>3.0</v>
      </c>
      <c r="D26" s="50">
        <v>266.0</v>
      </c>
      <c r="E26" s="50">
        <v>1199951.0</v>
      </c>
      <c r="F26" s="50">
        <v>295.0</v>
      </c>
      <c r="G26" s="50">
        <v>1199960.0</v>
      </c>
      <c r="H26" s="51">
        <v>299.0</v>
      </c>
      <c r="I26" s="50">
        <v>1210000.0</v>
      </c>
      <c r="J26" s="33">
        <v>238.0</v>
      </c>
      <c r="K26" s="33">
        <v>84632.0</v>
      </c>
      <c r="L26" s="32">
        <f t="shared" si="1"/>
        <v>-10.52631579</v>
      </c>
      <c r="M26" s="32">
        <f t="shared" si="2"/>
        <v>-19.3220339</v>
      </c>
      <c r="N26" s="32">
        <f t="shared" si="3"/>
        <v>-20.40133779</v>
      </c>
      <c r="O26" s="25"/>
      <c r="Q26" s="46"/>
      <c r="R26" s="2"/>
      <c r="S26" s="14"/>
      <c r="T26" s="17"/>
      <c r="U26" s="17"/>
      <c r="V26" s="17"/>
      <c r="W26" s="2"/>
      <c r="X26" s="2"/>
      <c r="Y26" s="2"/>
      <c r="Z26" s="25"/>
      <c r="AA26" s="25"/>
      <c r="AB26" s="25"/>
      <c r="AD26" s="25"/>
    </row>
    <row r="27">
      <c r="A27" s="5" t="s">
        <v>156</v>
      </c>
      <c r="B27" s="49">
        <v>6.0</v>
      </c>
      <c r="C27" s="49">
        <v>4.0</v>
      </c>
      <c r="D27" s="50">
        <v>275.0</v>
      </c>
      <c r="E27" s="50">
        <v>1199859.0</v>
      </c>
      <c r="F27" s="50">
        <v>303.0</v>
      </c>
      <c r="G27" s="50">
        <v>1080186.0</v>
      </c>
      <c r="H27" s="51">
        <v>306.0</v>
      </c>
      <c r="I27" s="50">
        <v>1210000.0</v>
      </c>
      <c r="J27" s="33">
        <v>243.0</v>
      </c>
      <c r="K27" s="33">
        <v>84166.0</v>
      </c>
      <c r="L27" s="32">
        <f t="shared" si="1"/>
        <v>-11.63636364</v>
      </c>
      <c r="M27" s="32">
        <f t="shared" si="2"/>
        <v>-19.8019802</v>
      </c>
      <c r="N27" s="32">
        <f t="shared" si="3"/>
        <v>-20.58823529</v>
      </c>
      <c r="O27" s="25"/>
      <c r="Q27" s="46"/>
      <c r="R27" s="2"/>
      <c r="S27" s="14"/>
      <c r="T27" s="17"/>
      <c r="U27" s="17"/>
      <c r="V27" s="17"/>
      <c r="W27" s="2"/>
      <c r="X27" s="2"/>
      <c r="Y27" s="2"/>
      <c r="Z27" s="25"/>
      <c r="AA27" s="25"/>
      <c r="AB27" s="25"/>
      <c r="AD27" s="25"/>
    </row>
    <row r="28">
      <c r="A28" s="5" t="s">
        <v>156</v>
      </c>
      <c r="B28" s="49">
        <v>6.0</v>
      </c>
      <c r="C28" s="49">
        <v>5.0</v>
      </c>
      <c r="D28" s="50">
        <v>269.0</v>
      </c>
      <c r="E28" s="50">
        <v>1199962.0</v>
      </c>
      <c r="F28" s="50">
        <v>293.0</v>
      </c>
      <c r="G28" s="50">
        <v>1200016.0</v>
      </c>
      <c r="H28" s="51">
        <v>303.0</v>
      </c>
      <c r="I28" s="50">
        <v>1210000.0</v>
      </c>
      <c r="J28" s="33">
        <v>239.0</v>
      </c>
      <c r="K28" s="33">
        <v>81635.0</v>
      </c>
      <c r="L28" s="32">
        <f t="shared" si="1"/>
        <v>-11.15241636</v>
      </c>
      <c r="M28" s="32">
        <f t="shared" si="2"/>
        <v>-18.43003413</v>
      </c>
      <c r="N28" s="32">
        <f t="shared" si="3"/>
        <v>-21.12211221</v>
      </c>
      <c r="O28" s="25"/>
      <c r="Q28" s="46"/>
      <c r="R28" s="2"/>
      <c r="S28" s="14"/>
      <c r="T28" s="17"/>
      <c r="U28" s="17"/>
      <c r="V28" s="17"/>
      <c r="W28" s="2"/>
      <c r="X28" s="2"/>
      <c r="Y28" s="2"/>
      <c r="Z28" s="25"/>
      <c r="AA28" s="25"/>
      <c r="AB28" s="25"/>
      <c r="AD28" s="25"/>
    </row>
    <row r="29">
      <c r="A29" s="5" t="s">
        <v>156</v>
      </c>
      <c r="B29" s="49">
        <v>6.0</v>
      </c>
      <c r="C29" s="49">
        <v>6.0</v>
      </c>
      <c r="D29" s="50">
        <v>277.0</v>
      </c>
      <c r="E29" s="50">
        <v>1200190.0</v>
      </c>
      <c r="F29" s="50">
        <v>296.0</v>
      </c>
      <c r="G29" s="50">
        <v>1199970.0</v>
      </c>
      <c r="H29" s="51">
        <v>304.0</v>
      </c>
      <c r="I29" s="50">
        <v>1210000.0</v>
      </c>
      <c r="J29" s="33">
        <v>246.0</v>
      </c>
      <c r="K29" s="33">
        <v>84062.0</v>
      </c>
      <c r="L29" s="32">
        <f t="shared" si="1"/>
        <v>-11.19133574</v>
      </c>
      <c r="M29" s="32">
        <f t="shared" si="2"/>
        <v>-16.89189189</v>
      </c>
      <c r="N29" s="32">
        <f t="shared" si="3"/>
        <v>-19.07894737</v>
      </c>
      <c r="O29" s="25"/>
      <c r="Q29" s="46"/>
      <c r="R29" s="2"/>
      <c r="S29" s="14"/>
      <c r="T29" s="17"/>
      <c r="U29" s="17"/>
      <c r="V29" s="17"/>
      <c r="W29" s="2"/>
      <c r="X29" s="2"/>
      <c r="Y29" s="2"/>
      <c r="Z29" s="25"/>
      <c r="AA29" s="25"/>
      <c r="AB29" s="25"/>
      <c r="AD29" s="25"/>
    </row>
    <row r="30">
      <c r="A30" s="5" t="s">
        <v>156</v>
      </c>
      <c r="B30" s="49">
        <v>6.0</v>
      </c>
      <c r="C30" s="49">
        <v>7.0</v>
      </c>
      <c r="D30" s="50">
        <v>274.0</v>
      </c>
      <c r="E30" s="50">
        <v>1200139.0</v>
      </c>
      <c r="F30" s="50">
        <v>299.0</v>
      </c>
      <c r="G30" s="50">
        <v>1200031.0</v>
      </c>
      <c r="H30" s="51">
        <v>302.0</v>
      </c>
      <c r="I30" s="50">
        <v>1210000.0</v>
      </c>
      <c r="J30" s="33">
        <v>243.0</v>
      </c>
      <c r="K30" s="33">
        <v>82574.0</v>
      </c>
      <c r="L30" s="32">
        <f t="shared" si="1"/>
        <v>-11.31386861</v>
      </c>
      <c r="M30" s="32">
        <f t="shared" si="2"/>
        <v>-18.72909699</v>
      </c>
      <c r="N30" s="32">
        <f t="shared" si="3"/>
        <v>-19.53642384</v>
      </c>
      <c r="O30" s="25"/>
      <c r="Q30" s="46"/>
      <c r="R30" s="2"/>
      <c r="S30" s="14"/>
      <c r="T30" s="17"/>
      <c r="U30" s="17"/>
      <c r="V30" s="17"/>
      <c r="W30" s="2"/>
      <c r="X30" s="2"/>
      <c r="Y30" s="2"/>
      <c r="Z30" s="25"/>
      <c r="AA30" s="25"/>
      <c r="AB30" s="25"/>
      <c r="AD30" s="25"/>
    </row>
    <row r="31">
      <c r="A31" s="5" t="s">
        <v>156</v>
      </c>
      <c r="B31" s="49">
        <v>6.0</v>
      </c>
      <c r="C31" s="49">
        <v>8.0</v>
      </c>
      <c r="D31" s="50">
        <v>264.0</v>
      </c>
      <c r="E31" s="50">
        <v>1200209.0</v>
      </c>
      <c r="F31" s="50">
        <v>294.0</v>
      </c>
      <c r="G31" s="50">
        <v>1080133.0</v>
      </c>
      <c r="H31" s="51">
        <v>298.0</v>
      </c>
      <c r="I31" s="50">
        <v>1210000.0</v>
      </c>
      <c r="J31" s="33">
        <v>235.0</v>
      </c>
      <c r="K31" s="33">
        <v>83580.0</v>
      </c>
      <c r="L31" s="32">
        <f t="shared" si="1"/>
        <v>-10.98484848</v>
      </c>
      <c r="M31" s="32">
        <f t="shared" si="2"/>
        <v>-20.06802721</v>
      </c>
      <c r="N31" s="32">
        <f t="shared" si="3"/>
        <v>-21.1409396</v>
      </c>
      <c r="O31" s="25"/>
      <c r="Q31" s="46"/>
      <c r="R31" s="2"/>
      <c r="S31" s="14"/>
      <c r="T31" s="17"/>
      <c r="U31" s="17"/>
      <c r="V31" s="17"/>
      <c r="W31" s="2"/>
      <c r="X31" s="2"/>
      <c r="Y31" s="2"/>
      <c r="Z31" s="25"/>
      <c r="AA31" s="25"/>
      <c r="AB31" s="25"/>
      <c r="AD31" s="25"/>
    </row>
    <row r="32">
      <c r="A32" s="5" t="s">
        <v>156</v>
      </c>
      <c r="B32" s="49">
        <v>6.0</v>
      </c>
      <c r="C32" s="49">
        <v>9.0</v>
      </c>
      <c r="D32" s="50">
        <v>283.0</v>
      </c>
      <c r="E32" s="50">
        <v>1200016.0</v>
      </c>
      <c r="F32" s="50">
        <v>297.0</v>
      </c>
      <c r="G32" s="50">
        <v>1200017.0</v>
      </c>
      <c r="H32" s="51">
        <v>309.0</v>
      </c>
      <c r="I32" s="50">
        <v>1210000.0</v>
      </c>
      <c r="J32" s="33">
        <v>251.0</v>
      </c>
      <c r="K32" s="33">
        <v>87424.0</v>
      </c>
      <c r="L32" s="32">
        <f t="shared" si="1"/>
        <v>-11.30742049</v>
      </c>
      <c r="M32" s="32">
        <f t="shared" si="2"/>
        <v>-15.48821549</v>
      </c>
      <c r="N32" s="32">
        <f t="shared" si="3"/>
        <v>-18.77022654</v>
      </c>
      <c r="O32" s="25"/>
      <c r="Q32" s="46"/>
      <c r="R32" s="2"/>
      <c r="S32" s="14"/>
      <c r="T32" s="17"/>
      <c r="U32" s="17"/>
      <c r="V32" s="17"/>
      <c r="W32" s="2"/>
      <c r="X32" s="2"/>
      <c r="Y32" s="2"/>
      <c r="Z32" s="25"/>
      <c r="AA32" s="25"/>
      <c r="AB32" s="25"/>
      <c r="AD32" s="25"/>
    </row>
    <row r="33">
      <c r="A33" s="5" t="s">
        <v>156</v>
      </c>
      <c r="B33" s="49">
        <v>6.0</v>
      </c>
      <c r="C33" s="49">
        <v>10.0</v>
      </c>
      <c r="D33" s="50">
        <v>276.0</v>
      </c>
      <c r="E33" s="50">
        <v>1200192.0</v>
      </c>
      <c r="F33" s="50">
        <v>298.0</v>
      </c>
      <c r="G33" s="50">
        <v>1200010.0</v>
      </c>
      <c r="H33" s="51">
        <v>302.0</v>
      </c>
      <c r="I33" s="50">
        <v>1210000.0</v>
      </c>
      <c r="J33" s="33">
        <v>244.0</v>
      </c>
      <c r="K33" s="33">
        <v>83722.0</v>
      </c>
      <c r="L33" s="32">
        <f t="shared" si="1"/>
        <v>-11.5942029</v>
      </c>
      <c r="M33" s="32">
        <f t="shared" si="2"/>
        <v>-18.12080537</v>
      </c>
      <c r="N33" s="32">
        <f t="shared" si="3"/>
        <v>-19.20529801</v>
      </c>
      <c r="O33" s="25"/>
      <c r="Q33" s="46"/>
      <c r="R33" s="2"/>
      <c r="S33" s="14"/>
      <c r="T33" s="17"/>
      <c r="U33" s="17"/>
      <c r="V33" s="17"/>
      <c r="W33" s="2"/>
      <c r="X33" s="2"/>
      <c r="Y33" s="2"/>
      <c r="Z33" s="25"/>
      <c r="AA33" s="25"/>
      <c r="AB33" s="25"/>
      <c r="AD33" s="25"/>
    </row>
    <row r="34">
      <c r="A34" s="5" t="s">
        <v>156</v>
      </c>
      <c r="B34" s="49">
        <v>8.0</v>
      </c>
      <c r="C34" s="49">
        <v>1.0</v>
      </c>
      <c r="D34" s="50">
        <v>316.0</v>
      </c>
      <c r="E34" s="50">
        <v>1200082.0</v>
      </c>
      <c r="F34" s="50">
        <v>342.0</v>
      </c>
      <c r="G34" s="50">
        <v>1200008.0</v>
      </c>
      <c r="H34" s="51">
        <v>334.0</v>
      </c>
      <c r="I34" s="50">
        <v>1210000.0</v>
      </c>
      <c r="J34" s="33">
        <v>285.0</v>
      </c>
      <c r="K34" s="33">
        <v>95455.0</v>
      </c>
      <c r="L34" s="32">
        <f t="shared" si="1"/>
        <v>-9.810126582</v>
      </c>
      <c r="M34" s="32">
        <f t="shared" si="2"/>
        <v>-16.66666667</v>
      </c>
      <c r="N34" s="32">
        <f t="shared" si="3"/>
        <v>-14.67065868</v>
      </c>
      <c r="O34" s="25"/>
      <c r="Q34" s="46"/>
      <c r="R34" s="2"/>
      <c r="S34" s="14"/>
      <c r="T34" s="17"/>
      <c r="U34" s="17"/>
      <c r="V34" s="17"/>
      <c r="W34" s="2"/>
      <c r="X34" s="2"/>
      <c r="Y34" s="2"/>
      <c r="Z34" s="25"/>
      <c r="AA34" s="25"/>
      <c r="AB34" s="25"/>
      <c r="AD34" s="25"/>
    </row>
    <row r="35">
      <c r="A35" s="5" t="s">
        <v>156</v>
      </c>
      <c r="B35" s="49">
        <v>8.0</v>
      </c>
      <c r="C35" s="49">
        <v>2.0</v>
      </c>
      <c r="D35" s="50">
        <v>316.0</v>
      </c>
      <c r="E35" s="50">
        <v>1199868.0</v>
      </c>
      <c r="F35" s="50">
        <v>338.0</v>
      </c>
      <c r="G35" s="50">
        <v>1199986.0</v>
      </c>
      <c r="H35" s="51">
        <v>337.0</v>
      </c>
      <c r="I35" s="50">
        <v>1210000.0</v>
      </c>
      <c r="J35" s="33">
        <v>290.0</v>
      </c>
      <c r="K35" s="33">
        <v>99154.0</v>
      </c>
      <c r="L35" s="32">
        <f t="shared" si="1"/>
        <v>-8.227848101</v>
      </c>
      <c r="M35" s="32">
        <f t="shared" si="2"/>
        <v>-14.20118343</v>
      </c>
      <c r="N35" s="32">
        <f t="shared" si="3"/>
        <v>-13.94658754</v>
      </c>
      <c r="O35" s="25"/>
      <c r="Q35" s="46"/>
      <c r="R35" s="2"/>
      <c r="S35" s="14"/>
      <c r="T35" s="17"/>
      <c r="U35" s="17"/>
      <c r="V35" s="17"/>
      <c r="W35" s="2"/>
      <c r="X35" s="2"/>
      <c r="Y35" s="2"/>
      <c r="Z35" s="25"/>
      <c r="AA35" s="25"/>
      <c r="AB35" s="25"/>
      <c r="AD35" s="25"/>
    </row>
    <row r="36">
      <c r="A36" s="5" t="s">
        <v>156</v>
      </c>
      <c r="B36" s="49">
        <v>8.0</v>
      </c>
      <c r="C36" s="49">
        <v>3.0</v>
      </c>
      <c r="D36" s="50">
        <v>320.0</v>
      </c>
      <c r="E36" s="50">
        <v>1200182.0</v>
      </c>
      <c r="F36" s="50">
        <v>343.0</v>
      </c>
      <c r="G36" s="50">
        <v>1199966.0</v>
      </c>
      <c r="H36" s="51">
        <v>337.0</v>
      </c>
      <c r="I36" s="50">
        <v>1210000.0</v>
      </c>
      <c r="J36" s="33">
        <v>289.0</v>
      </c>
      <c r="K36" s="33">
        <v>97096.0</v>
      </c>
      <c r="L36" s="32">
        <f t="shared" si="1"/>
        <v>-9.6875</v>
      </c>
      <c r="M36" s="32">
        <f t="shared" si="2"/>
        <v>-15.74344023</v>
      </c>
      <c r="N36" s="32">
        <f t="shared" si="3"/>
        <v>-14.24332344</v>
      </c>
      <c r="O36" s="25"/>
      <c r="Q36" s="46"/>
      <c r="R36" s="2"/>
      <c r="S36" s="14"/>
      <c r="T36" s="17"/>
      <c r="U36" s="17"/>
      <c r="V36" s="17"/>
      <c r="W36" s="2"/>
      <c r="X36" s="2"/>
      <c r="Y36" s="2"/>
      <c r="Z36" s="25"/>
      <c r="AA36" s="25"/>
      <c r="AB36" s="25"/>
      <c r="AD36" s="25"/>
    </row>
    <row r="37">
      <c r="A37" s="5" t="s">
        <v>156</v>
      </c>
      <c r="B37" s="49">
        <v>8.0</v>
      </c>
      <c r="C37" s="49">
        <v>4.0</v>
      </c>
      <c r="D37" s="50">
        <v>323.0</v>
      </c>
      <c r="E37" s="50">
        <v>1200052.0</v>
      </c>
      <c r="F37" s="50">
        <v>341.0</v>
      </c>
      <c r="G37" s="50">
        <v>1317987.0</v>
      </c>
      <c r="H37" s="51">
        <v>336.0</v>
      </c>
      <c r="I37" s="50">
        <v>1210000.0</v>
      </c>
      <c r="J37" s="33">
        <v>292.0</v>
      </c>
      <c r="K37" s="33">
        <v>102585.0</v>
      </c>
      <c r="L37" s="32">
        <f t="shared" si="1"/>
        <v>-9.59752322</v>
      </c>
      <c r="M37" s="32">
        <f t="shared" si="2"/>
        <v>-14.36950147</v>
      </c>
      <c r="N37" s="32">
        <f t="shared" si="3"/>
        <v>-13.0952381</v>
      </c>
      <c r="O37" s="25"/>
      <c r="Q37" s="46"/>
      <c r="R37" s="2"/>
      <c r="S37" s="14"/>
      <c r="T37" s="17"/>
      <c r="U37" s="17"/>
      <c r="V37" s="17"/>
      <c r="W37" s="2"/>
      <c r="X37" s="2"/>
      <c r="Y37" s="2"/>
      <c r="Z37" s="25"/>
      <c r="AA37" s="25"/>
      <c r="AB37" s="25"/>
      <c r="AD37" s="25"/>
    </row>
    <row r="38">
      <c r="A38" s="5" t="s">
        <v>156</v>
      </c>
      <c r="B38" s="49">
        <v>8.0</v>
      </c>
      <c r="C38" s="49">
        <v>5.0</v>
      </c>
      <c r="D38" s="50">
        <v>324.0</v>
      </c>
      <c r="E38" s="50">
        <v>1200194.0</v>
      </c>
      <c r="F38" s="50">
        <v>344.0</v>
      </c>
      <c r="G38" s="50">
        <v>1080146.0</v>
      </c>
      <c r="H38" s="51">
        <v>341.0</v>
      </c>
      <c r="I38" s="50">
        <v>1210000.0</v>
      </c>
      <c r="J38" s="33">
        <v>296.0</v>
      </c>
      <c r="K38" s="33">
        <v>97686.0</v>
      </c>
      <c r="L38" s="32">
        <f t="shared" si="1"/>
        <v>-8.641975309</v>
      </c>
      <c r="M38" s="32">
        <f t="shared" si="2"/>
        <v>-13.95348837</v>
      </c>
      <c r="N38" s="32">
        <f t="shared" si="3"/>
        <v>-13.19648094</v>
      </c>
      <c r="O38" s="25"/>
      <c r="Q38" s="46"/>
      <c r="R38" s="2"/>
      <c r="S38" s="14"/>
      <c r="T38" s="17"/>
      <c r="U38" s="17"/>
      <c r="V38" s="17"/>
      <c r="W38" s="2"/>
      <c r="X38" s="2"/>
      <c r="Y38" s="2"/>
      <c r="Z38" s="25"/>
      <c r="AA38" s="25"/>
      <c r="AB38" s="25"/>
      <c r="AD38" s="25"/>
    </row>
    <row r="39">
      <c r="A39" s="5" t="s">
        <v>156</v>
      </c>
      <c r="B39" s="49">
        <v>8.0</v>
      </c>
      <c r="C39" s="49">
        <v>6.0</v>
      </c>
      <c r="D39" s="50">
        <v>322.0</v>
      </c>
      <c r="E39" s="50">
        <v>1200189.0</v>
      </c>
      <c r="F39" s="50">
        <v>340.0</v>
      </c>
      <c r="G39" s="50">
        <v>1200000.0</v>
      </c>
      <c r="H39" s="51">
        <v>339.0</v>
      </c>
      <c r="I39" s="50">
        <v>1210000.0</v>
      </c>
      <c r="J39" s="33">
        <v>294.0</v>
      </c>
      <c r="K39" s="33">
        <v>102967.0</v>
      </c>
      <c r="L39" s="32">
        <f t="shared" si="1"/>
        <v>-8.695652174</v>
      </c>
      <c r="M39" s="32">
        <f t="shared" si="2"/>
        <v>-13.52941176</v>
      </c>
      <c r="N39" s="32">
        <f t="shared" si="3"/>
        <v>-13.27433628</v>
      </c>
      <c r="O39" s="25"/>
      <c r="Q39" s="46"/>
      <c r="R39" s="2"/>
      <c r="S39" s="14"/>
      <c r="T39" s="17"/>
      <c r="U39" s="17"/>
      <c r="V39" s="17"/>
      <c r="W39" s="2"/>
      <c r="X39" s="2"/>
      <c r="Y39" s="2"/>
      <c r="Z39" s="25"/>
      <c r="AA39" s="25"/>
      <c r="AB39" s="25"/>
      <c r="AD39" s="25"/>
    </row>
    <row r="40">
      <c r="A40" s="5" t="s">
        <v>156</v>
      </c>
      <c r="B40" s="49">
        <v>8.0</v>
      </c>
      <c r="C40" s="49">
        <v>7.0</v>
      </c>
      <c r="D40" s="50">
        <v>317.0</v>
      </c>
      <c r="E40" s="50">
        <v>1200221.0</v>
      </c>
      <c r="F40" s="50">
        <v>346.0</v>
      </c>
      <c r="G40" s="50">
        <v>1200002.0</v>
      </c>
      <c r="H40" s="51">
        <v>334.0</v>
      </c>
      <c r="I40" s="50">
        <v>1210000.0</v>
      </c>
      <c r="J40" s="33">
        <v>288.0</v>
      </c>
      <c r="K40" s="33">
        <v>99993.0</v>
      </c>
      <c r="L40" s="32">
        <f t="shared" si="1"/>
        <v>-9.148264984</v>
      </c>
      <c r="M40" s="32">
        <f t="shared" si="2"/>
        <v>-16.76300578</v>
      </c>
      <c r="N40" s="32">
        <f t="shared" si="3"/>
        <v>-13.77245509</v>
      </c>
      <c r="O40" s="25"/>
      <c r="Q40" s="46"/>
      <c r="R40" s="2"/>
      <c r="S40" s="14"/>
      <c r="T40" s="17"/>
      <c r="U40" s="17"/>
      <c r="V40" s="17"/>
      <c r="W40" s="2"/>
      <c r="X40" s="2"/>
      <c r="Y40" s="2"/>
      <c r="Z40" s="25"/>
      <c r="AA40" s="25"/>
      <c r="AB40" s="25"/>
      <c r="AD40" s="25"/>
    </row>
    <row r="41">
      <c r="A41" s="5" t="s">
        <v>156</v>
      </c>
      <c r="B41" s="49">
        <v>8.0</v>
      </c>
      <c r="C41" s="49">
        <v>8.0</v>
      </c>
      <c r="D41" s="50">
        <v>326.0</v>
      </c>
      <c r="E41" s="50">
        <v>1199887.0</v>
      </c>
      <c r="F41" s="50">
        <v>346.0</v>
      </c>
      <c r="G41" s="50">
        <v>1199988.0</v>
      </c>
      <c r="H41" s="51">
        <v>341.0</v>
      </c>
      <c r="I41" s="50">
        <v>1210000.0</v>
      </c>
      <c r="J41" s="33">
        <v>296.0</v>
      </c>
      <c r="K41" s="33">
        <v>98436.0</v>
      </c>
      <c r="L41" s="32">
        <f t="shared" si="1"/>
        <v>-9.202453988</v>
      </c>
      <c r="M41" s="32">
        <f t="shared" si="2"/>
        <v>-14.45086705</v>
      </c>
      <c r="N41" s="32">
        <f t="shared" si="3"/>
        <v>-13.19648094</v>
      </c>
      <c r="O41" s="25"/>
      <c r="Q41" s="46"/>
      <c r="R41" s="2"/>
      <c r="S41" s="14"/>
      <c r="T41" s="17"/>
      <c r="U41" s="17"/>
      <c r="V41" s="17"/>
      <c r="W41" s="2"/>
      <c r="X41" s="2"/>
      <c r="Y41" s="2"/>
      <c r="Z41" s="25"/>
      <c r="AA41" s="25"/>
      <c r="AB41" s="25"/>
      <c r="AD41" s="25"/>
    </row>
    <row r="42">
      <c r="A42" s="5" t="s">
        <v>156</v>
      </c>
      <c r="B42" s="49">
        <v>8.0</v>
      </c>
      <c r="C42" s="49">
        <v>9.0</v>
      </c>
      <c r="D42" s="50">
        <v>329.0</v>
      </c>
      <c r="E42" s="50">
        <v>1200169.0</v>
      </c>
      <c r="F42" s="50">
        <v>344.0</v>
      </c>
      <c r="G42" s="50">
        <v>1080146.0</v>
      </c>
      <c r="H42" s="51">
        <v>344.0</v>
      </c>
      <c r="I42" s="50">
        <v>1210000.0</v>
      </c>
      <c r="J42" s="33">
        <v>299.0</v>
      </c>
      <c r="K42" s="33">
        <v>106225.0</v>
      </c>
      <c r="L42" s="32">
        <f t="shared" si="1"/>
        <v>-9.118541033</v>
      </c>
      <c r="M42" s="32">
        <f t="shared" si="2"/>
        <v>-13.08139535</v>
      </c>
      <c r="N42" s="32">
        <f t="shared" si="3"/>
        <v>-13.08139535</v>
      </c>
      <c r="O42" s="25"/>
      <c r="Q42" s="46"/>
      <c r="R42" s="2"/>
      <c r="S42" s="14"/>
      <c r="T42" s="17"/>
      <c r="U42" s="17"/>
      <c r="V42" s="17"/>
      <c r="W42" s="2"/>
      <c r="X42" s="2"/>
      <c r="Y42" s="2"/>
      <c r="Z42" s="25"/>
      <c r="AA42" s="25"/>
      <c r="AB42" s="25"/>
      <c r="AD42" s="25"/>
    </row>
    <row r="43">
      <c r="A43" s="5" t="s">
        <v>156</v>
      </c>
      <c r="B43" s="49">
        <v>8.0</v>
      </c>
      <c r="C43" s="49">
        <v>10.0</v>
      </c>
      <c r="D43" s="50">
        <v>317.0</v>
      </c>
      <c r="E43" s="50">
        <v>1200011.0</v>
      </c>
      <c r="F43" s="50">
        <v>341.0</v>
      </c>
      <c r="G43" s="50">
        <v>1080153.0</v>
      </c>
      <c r="H43" s="51">
        <v>340.0</v>
      </c>
      <c r="I43" s="50">
        <v>1210000.0</v>
      </c>
      <c r="J43" s="33">
        <v>293.0</v>
      </c>
      <c r="K43" s="33">
        <v>101930.0</v>
      </c>
      <c r="L43" s="32">
        <f t="shared" si="1"/>
        <v>-7.570977918</v>
      </c>
      <c r="M43" s="32">
        <f t="shared" si="2"/>
        <v>-14.07624633</v>
      </c>
      <c r="N43" s="32">
        <f t="shared" si="3"/>
        <v>-13.82352941</v>
      </c>
      <c r="O43" s="25"/>
      <c r="Q43" s="46"/>
      <c r="R43" s="2"/>
      <c r="S43" s="14"/>
      <c r="T43" s="17"/>
      <c r="U43" s="17"/>
      <c r="V43" s="17"/>
      <c r="W43" s="2"/>
      <c r="X43" s="2"/>
      <c r="Y43" s="2"/>
      <c r="Z43" s="25"/>
      <c r="AA43" s="25"/>
      <c r="AB43" s="25"/>
      <c r="AD43" s="25"/>
    </row>
    <row r="44">
      <c r="A44" s="5" t="s">
        <v>156</v>
      </c>
      <c r="B44" s="49">
        <v>10.0</v>
      </c>
      <c r="C44" s="49">
        <v>1.0</v>
      </c>
      <c r="D44" s="50">
        <v>348.0</v>
      </c>
      <c r="E44" s="50">
        <v>1199984.0</v>
      </c>
      <c r="F44" s="50">
        <v>366.0</v>
      </c>
      <c r="G44" s="50">
        <v>1080210.0</v>
      </c>
      <c r="H44" s="51">
        <v>357.0</v>
      </c>
      <c r="I44" s="50">
        <v>1210000.0</v>
      </c>
      <c r="J44" s="33">
        <v>323.0</v>
      </c>
      <c r="K44" s="33">
        <v>113258.0</v>
      </c>
      <c r="L44" s="32">
        <f t="shared" si="1"/>
        <v>-7.183908046</v>
      </c>
      <c r="M44" s="32">
        <f t="shared" si="2"/>
        <v>-11.74863388</v>
      </c>
      <c r="N44" s="32">
        <f t="shared" si="3"/>
        <v>-9.523809524</v>
      </c>
      <c r="O44" s="25"/>
      <c r="Q44" s="46"/>
      <c r="R44" s="2"/>
      <c r="S44" s="14"/>
      <c r="T44" s="17"/>
      <c r="U44" s="17"/>
      <c r="V44" s="17"/>
      <c r="W44" s="2"/>
      <c r="X44" s="2"/>
      <c r="Y44" s="2"/>
      <c r="Z44" s="25"/>
      <c r="AA44" s="25"/>
      <c r="AB44" s="25"/>
      <c r="AD44" s="25"/>
    </row>
    <row r="45">
      <c r="A45" s="5" t="s">
        <v>156</v>
      </c>
      <c r="B45" s="49">
        <v>10.0</v>
      </c>
      <c r="C45" s="49">
        <v>2.0</v>
      </c>
      <c r="D45" s="50">
        <v>352.0</v>
      </c>
      <c r="E45" s="50">
        <v>1199912.0</v>
      </c>
      <c r="F45" s="50">
        <v>365.0</v>
      </c>
      <c r="G45" s="50">
        <v>1276568.0</v>
      </c>
      <c r="H45" s="51">
        <v>359.0</v>
      </c>
      <c r="I45" s="50">
        <v>1210000.0</v>
      </c>
      <c r="J45" s="33">
        <v>326.0</v>
      </c>
      <c r="K45" s="33">
        <v>115105.0</v>
      </c>
      <c r="L45" s="32">
        <f t="shared" si="1"/>
        <v>-7.386363636</v>
      </c>
      <c r="M45" s="32">
        <f t="shared" si="2"/>
        <v>-10.68493151</v>
      </c>
      <c r="N45" s="32">
        <f t="shared" si="3"/>
        <v>-9.192200557</v>
      </c>
      <c r="O45" s="25"/>
      <c r="Q45" s="46"/>
      <c r="R45" s="2"/>
      <c r="S45" s="14"/>
      <c r="T45" s="17"/>
      <c r="U45" s="17"/>
      <c r="V45" s="17"/>
      <c r="W45" s="2"/>
      <c r="X45" s="2"/>
      <c r="Y45" s="2"/>
      <c r="Z45" s="25"/>
      <c r="AA45" s="25"/>
      <c r="AB45" s="25"/>
      <c r="AD45" s="25"/>
    </row>
    <row r="46">
      <c r="A46" s="5" t="s">
        <v>156</v>
      </c>
      <c r="B46" s="49">
        <v>10.0</v>
      </c>
      <c r="C46" s="49">
        <v>3.0</v>
      </c>
      <c r="D46" s="50">
        <v>344.0</v>
      </c>
      <c r="E46" s="50">
        <v>1200076.0</v>
      </c>
      <c r="F46" s="50">
        <v>355.0</v>
      </c>
      <c r="G46" s="50">
        <v>1200006.0</v>
      </c>
      <c r="H46" s="51">
        <v>359.0</v>
      </c>
      <c r="I46" s="50">
        <v>1210000.0</v>
      </c>
      <c r="J46" s="33">
        <v>324.0</v>
      </c>
      <c r="K46" s="33">
        <v>119175.0</v>
      </c>
      <c r="L46" s="32">
        <f t="shared" si="1"/>
        <v>-5.813953488</v>
      </c>
      <c r="M46" s="32">
        <f t="shared" si="2"/>
        <v>-8.732394366</v>
      </c>
      <c r="N46" s="32">
        <f t="shared" si="3"/>
        <v>-9.749303621</v>
      </c>
      <c r="O46" s="25"/>
      <c r="Q46" s="46"/>
      <c r="R46" s="2"/>
      <c r="S46" s="14"/>
      <c r="T46" s="17"/>
      <c r="U46" s="17"/>
      <c r="V46" s="17"/>
      <c r="W46" s="2"/>
      <c r="X46" s="2"/>
      <c r="Y46" s="2"/>
      <c r="Z46" s="25"/>
      <c r="AA46" s="25"/>
      <c r="AB46" s="25"/>
      <c r="AD46" s="25"/>
    </row>
    <row r="47">
      <c r="A47" s="5" t="s">
        <v>156</v>
      </c>
      <c r="B47" s="49">
        <v>10.0</v>
      </c>
      <c r="C47" s="49">
        <v>4.0</v>
      </c>
      <c r="D47" s="50">
        <v>347.0</v>
      </c>
      <c r="E47" s="50">
        <v>1200113.0</v>
      </c>
      <c r="F47" s="50">
        <v>367.0</v>
      </c>
      <c r="G47" s="50">
        <v>1200027.0</v>
      </c>
      <c r="H47" s="51">
        <v>358.0</v>
      </c>
      <c r="I47" s="50">
        <v>1210000.0</v>
      </c>
      <c r="J47" s="33">
        <v>321.0</v>
      </c>
      <c r="K47" s="33">
        <v>114873.0</v>
      </c>
      <c r="L47" s="32">
        <f t="shared" si="1"/>
        <v>-7.492795389</v>
      </c>
      <c r="M47" s="32">
        <f t="shared" si="2"/>
        <v>-12.53405995</v>
      </c>
      <c r="N47" s="32">
        <f t="shared" si="3"/>
        <v>-10.33519553</v>
      </c>
      <c r="O47" s="25"/>
      <c r="Q47" s="46"/>
      <c r="R47" s="2"/>
      <c r="S47" s="14"/>
      <c r="T47" s="17"/>
      <c r="U47" s="17"/>
      <c r="V47" s="17"/>
      <c r="W47" s="2"/>
      <c r="X47" s="2"/>
      <c r="Y47" s="2"/>
      <c r="Z47" s="25"/>
      <c r="AA47" s="25"/>
      <c r="AB47" s="25"/>
      <c r="AD47" s="25"/>
    </row>
    <row r="48">
      <c r="A48" s="5" t="s">
        <v>156</v>
      </c>
      <c r="B48" s="49">
        <v>10.0</v>
      </c>
      <c r="C48" s="49">
        <v>5.0</v>
      </c>
      <c r="D48" s="50">
        <v>347.0</v>
      </c>
      <c r="E48" s="50">
        <v>1200239.0</v>
      </c>
      <c r="F48" s="50">
        <v>365.0</v>
      </c>
      <c r="G48" s="50">
        <v>1199998.0</v>
      </c>
      <c r="H48" s="51">
        <v>357.0</v>
      </c>
      <c r="I48" s="50">
        <v>1210000.0</v>
      </c>
      <c r="J48" s="33">
        <v>321.0</v>
      </c>
      <c r="K48" s="33">
        <v>123649.0</v>
      </c>
      <c r="L48" s="32">
        <f t="shared" si="1"/>
        <v>-7.492795389</v>
      </c>
      <c r="M48" s="32">
        <f t="shared" si="2"/>
        <v>-12.05479452</v>
      </c>
      <c r="N48" s="32">
        <f t="shared" si="3"/>
        <v>-10.08403361</v>
      </c>
      <c r="O48" s="25"/>
      <c r="Q48" s="46"/>
      <c r="R48" s="2"/>
      <c r="S48" s="14"/>
      <c r="T48" s="17"/>
      <c r="U48" s="17"/>
      <c r="V48" s="17"/>
      <c r="W48" s="2"/>
      <c r="X48" s="2"/>
      <c r="Y48" s="2"/>
      <c r="Z48" s="25"/>
      <c r="AA48" s="25"/>
      <c r="AB48" s="25"/>
      <c r="AD48" s="25"/>
    </row>
    <row r="49">
      <c r="A49" s="5" t="s">
        <v>156</v>
      </c>
      <c r="B49" s="49">
        <v>10.0</v>
      </c>
      <c r="C49" s="49">
        <v>6.0</v>
      </c>
      <c r="D49" s="50">
        <v>347.0</v>
      </c>
      <c r="E49" s="50">
        <v>1200136.0</v>
      </c>
      <c r="F49" s="50">
        <v>362.0</v>
      </c>
      <c r="G49" s="50">
        <v>1080183.0</v>
      </c>
      <c r="H49" s="51">
        <v>359.0</v>
      </c>
      <c r="I49" s="50">
        <v>1210000.0</v>
      </c>
      <c r="J49" s="33">
        <v>323.0</v>
      </c>
      <c r="K49" s="33">
        <v>113315.0</v>
      </c>
      <c r="L49" s="32">
        <f t="shared" si="1"/>
        <v>-6.916426513</v>
      </c>
      <c r="M49" s="32">
        <f t="shared" si="2"/>
        <v>-10.77348066</v>
      </c>
      <c r="N49" s="32">
        <f t="shared" si="3"/>
        <v>-10.02785515</v>
      </c>
      <c r="O49" s="25"/>
      <c r="Q49" s="46"/>
      <c r="R49" s="2"/>
      <c r="S49" s="14"/>
      <c r="T49" s="17"/>
      <c r="U49" s="17"/>
      <c r="V49" s="17"/>
      <c r="W49" s="2"/>
      <c r="X49" s="2"/>
      <c r="Y49" s="2"/>
      <c r="Z49" s="20"/>
      <c r="AA49" s="25"/>
      <c r="AB49" s="25"/>
      <c r="AD49" s="25"/>
    </row>
    <row r="50">
      <c r="A50" s="5" t="s">
        <v>156</v>
      </c>
      <c r="B50" s="49">
        <v>10.0</v>
      </c>
      <c r="C50" s="49">
        <v>7.0</v>
      </c>
      <c r="D50" s="50">
        <v>354.0</v>
      </c>
      <c r="E50" s="50">
        <v>1199927.0</v>
      </c>
      <c r="F50" s="50">
        <v>360.0</v>
      </c>
      <c r="G50" s="50">
        <v>1080171.0</v>
      </c>
      <c r="H50" s="51">
        <v>362.0</v>
      </c>
      <c r="I50" s="50">
        <v>1210000.0</v>
      </c>
      <c r="J50" s="33">
        <v>328.0</v>
      </c>
      <c r="K50" s="33">
        <v>115541.0</v>
      </c>
      <c r="L50" s="32">
        <f t="shared" si="1"/>
        <v>-7.344632768</v>
      </c>
      <c r="M50" s="32">
        <f t="shared" si="2"/>
        <v>-8.888888889</v>
      </c>
      <c r="N50" s="32">
        <f t="shared" si="3"/>
        <v>-9.392265193</v>
      </c>
      <c r="O50" s="25"/>
      <c r="Q50" s="46"/>
      <c r="R50" s="2"/>
      <c r="S50" s="14"/>
      <c r="T50" s="17"/>
      <c r="U50" s="17"/>
      <c r="V50" s="17"/>
      <c r="W50" s="2"/>
      <c r="X50" s="2"/>
      <c r="Y50" s="2"/>
      <c r="Z50" s="25"/>
      <c r="AA50" s="25"/>
      <c r="AB50" s="25"/>
      <c r="AD50" s="25"/>
    </row>
    <row r="51">
      <c r="A51" s="5" t="s">
        <v>156</v>
      </c>
      <c r="B51" s="49">
        <v>10.0</v>
      </c>
      <c r="C51" s="49">
        <v>8.0</v>
      </c>
      <c r="D51" s="50">
        <v>351.0</v>
      </c>
      <c r="E51" s="50">
        <v>1200204.0</v>
      </c>
      <c r="F51" s="50">
        <v>365.0</v>
      </c>
      <c r="G51" s="50">
        <v>1080184.0</v>
      </c>
      <c r="H51" s="51">
        <v>359.0</v>
      </c>
      <c r="I51" s="50">
        <v>1210000.0</v>
      </c>
      <c r="J51" s="33">
        <v>324.0</v>
      </c>
      <c r="K51" s="33">
        <v>114491.0</v>
      </c>
      <c r="L51" s="32">
        <f t="shared" si="1"/>
        <v>-7.692307692</v>
      </c>
      <c r="M51" s="32">
        <f t="shared" si="2"/>
        <v>-11.23287671</v>
      </c>
      <c r="N51" s="32">
        <f t="shared" si="3"/>
        <v>-9.749303621</v>
      </c>
      <c r="O51" s="25"/>
      <c r="Q51" s="46"/>
      <c r="R51" s="2"/>
      <c r="S51" s="14"/>
      <c r="T51" s="17"/>
      <c r="U51" s="17"/>
      <c r="V51" s="17"/>
      <c r="W51" s="2"/>
      <c r="X51" s="2"/>
      <c r="Y51" s="2"/>
      <c r="Z51" s="25"/>
      <c r="AA51" s="25"/>
      <c r="AB51" s="25"/>
      <c r="AD51" s="25"/>
    </row>
    <row r="52">
      <c r="A52" s="5" t="s">
        <v>156</v>
      </c>
      <c r="B52" s="49">
        <v>10.0</v>
      </c>
      <c r="C52" s="49">
        <v>9.0</v>
      </c>
      <c r="D52" s="50">
        <v>343.0</v>
      </c>
      <c r="E52" s="50">
        <v>1199852.0</v>
      </c>
      <c r="F52" s="50">
        <v>367.0</v>
      </c>
      <c r="G52" s="50">
        <v>1199982.0</v>
      </c>
      <c r="H52" s="51">
        <v>354.0</v>
      </c>
      <c r="I52" s="50">
        <v>1210000.0</v>
      </c>
      <c r="J52" s="33">
        <v>319.0</v>
      </c>
      <c r="K52" s="33">
        <v>120534.0</v>
      </c>
      <c r="L52" s="32">
        <f t="shared" si="1"/>
        <v>-6.997084548</v>
      </c>
      <c r="M52" s="32">
        <f t="shared" si="2"/>
        <v>-13.07901907</v>
      </c>
      <c r="N52" s="32">
        <f t="shared" si="3"/>
        <v>-9.88700565</v>
      </c>
      <c r="O52" s="25"/>
      <c r="Q52" s="46"/>
      <c r="R52" s="2"/>
      <c r="S52" s="14"/>
      <c r="T52" s="17"/>
      <c r="U52" s="17"/>
      <c r="V52" s="17"/>
      <c r="W52" s="2"/>
      <c r="X52" s="2"/>
      <c r="Y52" s="2"/>
      <c r="Z52" s="25"/>
      <c r="AA52" s="25"/>
      <c r="AB52" s="25"/>
      <c r="AD52" s="25"/>
    </row>
    <row r="53">
      <c r="A53" s="5" t="s">
        <v>156</v>
      </c>
      <c r="B53" s="49">
        <v>10.0</v>
      </c>
      <c r="C53" s="49">
        <v>10.0</v>
      </c>
      <c r="D53" s="50">
        <v>351.0</v>
      </c>
      <c r="E53" s="50">
        <v>1199891.0</v>
      </c>
      <c r="F53" s="50">
        <v>364.0</v>
      </c>
      <c r="G53" s="50">
        <v>1199948.0</v>
      </c>
      <c r="H53" s="51">
        <v>356.0</v>
      </c>
      <c r="I53" s="50">
        <v>1210000.0</v>
      </c>
      <c r="J53" s="33">
        <v>321.0</v>
      </c>
      <c r="K53" s="33">
        <v>114867.0</v>
      </c>
      <c r="L53" s="32">
        <f t="shared" si="1"/>
        <v>-8.547008547</v>
      </c>
      <c r="M53" s="32">
        <f t="shared" si="2"/>
        <v>-11.81318681</v>
      </c>
      <c r="N53" s="32">
        <f t="shared" si="3"/>
        <v>-9.831460674</v>
      </c>
      <c r="O53" s="25"/>
      <c r="Q53" s="46"/>
      <c r="R53" s="2"/>
      <c r="S53" s="14"/>
      <c r="T53" s="17"/>
      <c r="U53" s="17"/>
      <c r="V53" s="17"/>
      <c r="W53" s="2"/>
      <c r="X53" s="2"/>
      <c r="Y53" s="2"/>
      <c r="Z53" s="25"/>
      <c r="AA53" s="25"/>
      <c r="AB53" s="25"/>
      <c r="AD53" s="25"/>
    </row>
    <row r="54">
      <c r="A54" s="5" t="s">
        <v>156</v>
      </c>
      <c r="B54" s="49">
        <v>14.0</v>
      </c>
      <c r="C54" s="49">
        <v>1.0</v>
      </c>
      <c r="D54" s="50">
        <v>374.0</v>
      </c>
      <c r="E54" s="50">
        <v>1200166.0</v>
      </c>
      <c r="F54" s="50">
        <v>386.0</v>
      </c>
      <c r="G54" s="50">
        <v>1200011.0</v>
      </c>
      <c r="H54" s="51">
        <v>376.0</v>
      </c>
      <c r="I54" s="50">
        <v>1210000.0</v>
      </c>
      <c r="J54" s="33">
        <v>355.0</v>
      </c>
      <c r="K54" s="33">
        <v>143113.0</v>
      </c>
      <c r="L54" s="32">
        <f t="shared" si="1"/>
        <v>-5.080213904</v>
      </c>
      <c r="M54" s="32">
        <f t="shared" si="2"/>
        <v>-8.031088083</v>
      </c>
      <c r="N54" s="32">
        <f t="shared" si="3"/>
        <v>-5.585106383</v>
      </c>
      <c r="O54" s="25"/>
      <c r="Q54" s="46"/>
      <c r="R54" s="2"/>
      <c r="S54" s="14"/>
      <c r="T54" s="17"/>
      <c r="U54" s="17"/>
      <c r="V54" s="17"/>
      <c r="W54" s="2"/>
      <c r="X54" s="2"/>
      <c r="Y54" s="2"/>
      <c r="Z54" s="25"/>
      <c r="AA54" s="25"/>
      <c r="AB54" s="25"/>
      <c r="AD54" s="25"/>
    </row>
    <row r="55">
      <c r="A55" s="5" t="s">
        <v>156</v>
      </c>
      <c r="B55" s="49">
        <v>14.0</v>
      </c>
      <c r="C55" s="49">
        <v>2.0</v>
      </c>
      <c r="D55" s="50">
        <v>372.0</v>
      </c>
      <c r="E55" s="50">
        <v>1199990.0</v>
      </c>
      <c r="F55" s="50">
        <v>385.0</v>
      </c>
      <c r="G55" s="50">
        <v>1200009.0</v>
      </c>
      <c r="H55" s="51">
        <v>378.0</v>
      </c>
      <c r="I55" s="50">
        <v>1210000.0</v>
      </c>
      <c r="J55" s="33">
        <v>359.0</v>
      </c>
      <c r="K55" s="33">
        <v>150089.0</v>
      </c>
      <c r="L55" s="32">
        <f t="shared" si="1"/>
        <v>-3.494623656</v>
      </c>
      <c r="M55" s="32">
        <f t="shared" si="2"/>
        <v>-6.753246753</v>
      </c>
      <c r="N55" s="32">
        <f t="shared" si="3"/>
        <v>-5.026455026</v>
      </c>
      <c r="O55" s="25"/>
      <c r="Q55" s="46"/>
      <c r="R55" s="2"/>
      <c r="S55" s="14"/>
      <c r="T55" s="17"/>
      <c r="U55" s="17"/>
      <c r="V55" s="17"/>
      <c r="W55" s="2"/>
      <c r="X55" s="2"/>
      <c r="Y55" s="2"/>
      <c r="Z55" s="25"/>
      <c r="AA55" s="25"/>
      <c r="AB55" s="25"/>
      <c r="AD55" s="25"/>
    </row>
    <row r="56">
      <c r="A56" s="5" t="s">
        <v>156</v>
      </c>
      <c r="B56" s="49">
        <v>14.0</v>
      </c>
      <c r="C56" s="49">
        <v>3.0</v>
      </c>
      <c r="D56" s="50">
        <v>375.0</v>
      </c>
      <c r="E56" s="50">
        <v>1200132.0</v>
      </c>
      <c r="F56" s="50">
        <v>385.0</v>
      </c>
      <c r="G56" s="50">
        <v>1200031.0</v>
      </c>
      <c r="H56" s="51">
        <v>377.0</v>
      </c>
      <c r="I56" s="50">
        <v>1210000.0</v>
      </c>
      <c r="J56" s="33">
        <v>356.0</v>
      </c>
      <c r="K56" s="33">
        <v>143276.0</v>
      </c>
      <c r="L56" s="32">
        <f t="shared" si="1"/>
        <v>-5.066666667</v>
      </c>
      <c r="M56" s="32">
        <f t="shared" si="2"/>
        <v>-7.532467532</v>
      </c>
      <c r="N56" s="32">
        <f t="shared" si="3"/>
        <v>-5.570291777</v>
      </c>
      <c r="O56" s="25"/>
      <c r="Q56" s="46"/>
      <c r="R56" s="2"/>
      <c r="S56" s="14"/>
      <c r="T56" s="17"/>
      <c r="U56" s="17"/>
      <c r="V56" s="17"/>
      <c r="W56" s="2"/>
      <c r="X56" s="2"/>
      <c r="Y56" s="2"/>
      <c r="Z56" s="25"/>
      <c r="AA56" s="25"/>
      <c r="AB56" s="25"/>
      <c r="AD56" s="25"/>
    </row>
    <row r="57">
      <c r="A57" s="5" t="s">
        <v>156</v>
      </c>
      <c r="B57" s="49">
        <v>14.0</v>
      </c>
      <c r="C57" s="49">
        <v>4.0</v>
      </c>
      <c r="D57" s="50">
        <v>369.0</v>
      </c>
      <c r="E57" s="50">
        <v>1199863.0</v>
      </c>
      <c r="F57" s="50">
        <v>385.0</v>
      </c>
      <c r="G57" s="50">
        <v>1199970.0</v>
      </c>
      <c r="H57" s="51">
        <v>375.0</v>
      </c>
      <c r="I57" s="50">
        <v>1210000.0</v>
      </c>
      <c r="J57" s="33">
        <v>355.0</v>
      </c>
      <c r="K57" s="33">
        <v>141798.0</v>
      </c>
      <c r="L57" s="32">
        <f t="shared" si="1"/>
        <v>-3.79403794</v>
      </c>
      <c r="M57" s="32">
        <f t="shared" si="2"/>
        <v>-7.792207792</v>
      </c>
      <c r="N57" s="32">
        <f t="shared" si="3"/>
        <v>-5.333333333</v>
      </c>
      <c r="O57" s="25"/>
      <c r="Q57" s="46"/>
      <c r="R57" s="2"/>
      <c r="S57" s="14"/>
      <c r="T57" s="17"/>
      <c r="U57" s="17"/>
      <c r="V57" s="17"/>
      <c r="W57" s="2"/>
      <c r="X57" s="2"/>
      <c r="Y57" s="2"/>
      <c r="Z57" s="25"/>
      <c r="AA57" s="25"/>
      <c r="AB57" s="25"/>
      <c r="AD57" s="25"/>
    </row>
    <row r="58">
      <c r="A58" s="5" t="s">
        <v>156</v>
      </c>
      <c r="B58" s="49">
        <v>14.0</v>
      </c>
      <c r="C58" s="49">
        <v>5.0</v>
      </c>
      <c r="D58" s="50">
        <v>372.0</v>
      </c>
      <c r="E58" s="50">
        <v>1200119.0</v>
      </c>
      <c r="F58" s="50">
        <v>385.0</v>
      </c>
      <c r="G58" s="50">
        <v>1289237.0</v>
      </c>
      <c r="H58" s="51">
        <v>376.0</v>
      </c>
      <c r="I58" s="50">
        <v>1210000.0</v>
      </c>
      <c r="J58" s="33">
        <v>355.0</v>
      </c>
      <c r="K58" s="33">
        <v>146196.0</v>
      </c>
      <c r="L58" s="32">
        <f t="shared" si="1"/>
        <v>-4.569892473</v>
      </c>
      <c r="M58" s="32">
        <f t="shared" si="2"/>
        <v>-7.792207792</v>
      </c>
      <c r="N58" s="32">
        <f t="shared" si="3"/>
        <v>-5.585106383</v>
      </c>
      <c r="O58" s="25"/>
      <c r="Q58" s="46"/>
      <c r="R58" s="2"/>
      <c r="S58" s="14"/>
      <c r="T58" s="17"/>
      <c r="U58" s="17"/>
      <c r="V58" s="17"/>
      <c r="W58" s="2"/>
      <c r="X58" s="2"/>
      <c r="Y58" s="2"/>
      <c r="Z58" s="25"/>
      <c r="AA58" s="25"/>
      <c r="AB58" s="25"/>
      <c r="AD58" s="25"/>
    </row>
    <row r="59">
      <c r="A59" s="5" t="s">
        <v>156</v>
      </c>
      <c r="B59" s="49">
        <v>14.0</v>
      </c>
      <c r="C59" s="49">
        <v>6.0</v>
      </c>
      <c r="D59" s="50">
        <v>370.0</v>
      </c>
      <c r="E59" s="50">
        <v>1199983.0</v>
      </c>
      <c r="F59" s="50">
        <v>383.0</v>
      </c>
      <c r="G59" s="50">
        <v>1200009.0</v>
      </c>
      <c r="H59" s="51">
        <v>377.0</v>
      </c>
      <c r="I59" s="50">
        <v>1210000.0</v>
      </c>
      <c r="J59" s="33">
        <v>357.0</v>
      </c>
      <c r="K59" s="33">
        <v>143966.0</v>
      </c>
      <c r="L59" s="32">
        <f t="shared" si="1"/>
        <v>-3.513513514</v>
      </c>
      <c r="M59" s="32">
        <f t="shared" si="2"/>
        <v>-6.788511749</v>
      </c>
      <c r="N59" s="32">
        <f t="shared" si="3"/>
        <v>-5.305039788</v>
      </c>
      <c r="O59" s="25"/>
      <c r="Q59" s="46"/>
      <c r="R59" s="2"/>
      <c r="S59" s="14"/>
      <c r="T59" s="17"/>
      <c r="U59" s="17"/>
      <c r="V59" s="17"/>
      <c r="W59" s="2"/>
      <c r="X59" s="2"/>
      <c r="Y59" s="2"/>
      <c r="Z59" s="25"/>
      <c r="AA59" s="25"/>
      <c r="AB59" s="25"/>
      <c r="AD59" s="25"/>
    </row>
    <row r="60">
      <c r="A60" s="5" t="s">
        <v>156</v>
      </c>
      <c r="B60" s="49">
        <v>14.0</v>
      </c>
      <c r="C60" s="49">
        <v>7.0</v>
      </c>
      <c r="D60" s="50">
        <v>374.0</v>
      </c>
      <c r="E60" s="50">
        <v>1199842.0</v>
      </c>
      <c r="F60" s="50">
        <v>386.0</v>
      </c>
      <c r="G60" s="50">
        <v>1080147.0</v>
      </c>
      <c r="H60" s="51">
        <v>377.0</v>
      </c>
      <c r="I60" s="50">
        <v>1210000.0</v>
      </c>
      <c r="J60" s="33">
        <v>359.0</v>
      </c>
      <c r="K60" s="33">
        <v>146283.0</v>
      </c>
      <c r="L60" s="32">
        <f t="shared" si="1"/>
        <v>-4.010695187</v>
      </c>
      <c r="M60" s="32">
        <f t="shared" si="2"/>
        <v>-6.994818653</v>
      </c>
      <c r="N60" s="32">
        <f t="shared" si="3"/>
        <v>-4.774535809</v>
      </c>
      <c r="O60" s="25"/>
      <c r="Q60" s="46"/>
      <c r="R60" s="2"/>
      <c r="S60" s="14"/>
      <c r="T60" s="17"/>
      <c r="U60" s="17"/>
      <c r="V60" s="17"/>
      <c r="W60" s="2"/>
      <c r="X60" s="2"/>
      <c r="Y60" s="2"/>
      <c r="Z60" s="25"/>
      <c r="AA60" s="25"/>
      <c r="AB60" s="25"/>
      <c r="AD60" s="25"/>
    </row>
    <row r="61">
      <c r="A61" s="5" t="s">
        <v>156</v>
      </c>
      <c r="B61" s="49">
        <v>14.0</v>
      </c>
      <c r="C61" s="49">
        <v>8.0</v>
      </c>
      <c r="D61" s="50">
        <v>373.0</v>
      </c>
      <c r="E61" s="50">
        <v>1200229.0</v>
      </c>
      <c r="F61" s="50">
        <v>385.0</v>
      </c>
      <c r="G61" s="50">
        <v>1199953.0</v>
      </c>
      <c r="H61" s="51">
        <v>378.0</v>
      </c>
      <c r="I61" s="50">
        <v>1210000.0</v>
      </c>
      <c r="J61" s="33">
        <v>358.0</v>
      </c>
      <c r="K61" s="33">
        <v>149225.0</v>
      </c>
      <c r="L61" s="32">
        <f t="shared" si="1"/>
        <v>-4.021447721</v>
      </c>
      <c r="M61" s="32">
        <f t="shared" si="2"/>
        <v>-7.012987013</v>
      </c>
      <c r="N61" s="32">
        <f t="shared" si="3"/>
        <v>-5.291005291</v>
      </c>
      <c r="O61" s="25"/>
      <c r="Q61" s="46"/>
      <c r="R61" s="2"/>
      <c r="S61" s="14"/>
      <c r="T61" s="17"/>
      <c r="U61" s="17"/>
      <c r="V61" s="17"/>
      <c r="W61" s="2"/>
      <c r="X61" s="2"/>
      <c r="Y61" s="2"/>
      <c r="Z61" s="25"/>
      <c r="AA61" s="25"/>
      <c r="AB61" s="25"/>
      <c r="AD61" s="25"/>
    </row>
    <row r="62">
      <c r="A62" s="5" t="s">
        <v>156</v>
      </c>
      <c r="B62" s="49">
        <v>14.0</v>
      </c>
      <c r="C62" s="49">
        <v>9.0</v>
      </c>
      <c r="D62" s="50">
        <v>373.0</v>
      </c>
      <c r="E62" s="50">
        <v>1200156.0</v>
      </c>
      <c r="F62" s="50">
        <v>384.0</v>
      </c>
      <c r="G62" s="50">
        <v>1200061.0</v>
      </c>
      <c r="H62" s="51">
        <v>377.0</v>
      </c>
      <c r="I62" s="50">
        <v>1210000.0</v>
      </c>
      <c r="J62" s="33">
        <v>356.0</v>
      </c>
      <c r="K62" s="33">
        <v>146204.0</v>
      </c>
      <c r="L62" s="32">
        <f t="shared" si="1"/>
        <v>-4.557640751</v>
      </c>
      <c r="M62" s="32">
        <f t="shared" si="2"/>
        <v>-7.291666667</v>
      </c>
      <c r="N62" s="32">
        <f t="shared" si="3"/>
        <v>-5.570291777</v>
      </c>
      <c r="O62" s="25"/>
      <c r="Q62" s="46"/>
      <c r="R62" s="2"/>
      <c r="S62" s="14"/>
      <c r="T62" s="17"/>
      <c r="U62" s="17"/>
      <c r="V62" s="17"/>
      <c r="W62" s="2"/>
      <c r="X62" s="2"/>
      <c r="Y62" s="2"/>
      <c r="Z62" s="25"/>
      <c r="AA62" s="25"/>
      <c r="AB62" s="25"/>
      <c r="AD62" s="25"/>
    </row>
    <row r="63">
      <c r="A63" s="5" t="s">
        <v>156</v>
      </c>
      <c r="B63" s="49">
        <v>14.0</v>
      </c>
      <c r="C63" s="49">
        <v>10.0</v>
      </c>
      <c r="D63" s="50">
        <v>372.0</v>
      </c>
      <c r="E63" s="50">
        <v>1199824.0</v>
      </c>
      <c r="F63" s="50">
        <v>386.0</v>
      </c>
      <c r="G63" s="50">
        <v>1281302.0</v>
      </c>
      <c r="H63" s="51">
        <v>375.0</v>
      </c>
      <c r="I63" s="50">
        <v>1210000.0</v>
      </c>
      <c r="J63" s="33">
        <v>355.0</v>
      </c>
      <c r="K63" s="33">
        <v>143412.0</v>
      </c>
      <c r="L63" s="32">
        <f t="shared" si="1"/>
        <v>-4.569892473</v>
      </c>
      <c r="M63" s="32">
        <f t="shared" si="2"/>
        <v>-8.031088083</v>
      </c>
      <c r="N63" s="32">
        <f t="shared" si="3"/>
        <v>-5.333333333</v>
      </c>
      <c r="O63" s="25"/>
      <c r="Q63" s="46"/>
      <c r="R63" s="2"/>
      <c r="S63" s="14"/>
      <c r="T63" s="17"/>
      <c r="U63" s="17"/>
      <c r="V63" s="17"/>
      <c r="W63" s="2"/>
      <c r="X63" s="2"/>
      <c r="Y63" s="2"/>
      <c r="Z63" s="25"/>
      <c r="AA63" s="25"/>
      <c r="AB63" s="25"/>
      <c r="AD63" s="25"/>
    </row>
    <row r="64">
      <c r="A64" s="5" t="s">
        <v>156</v>
      </c>
      <c r="B64" s="49">
        <v>18.0</v>
      </c>
      <c r="C64" s="49">
        <v>1.0</v>
      </c>
      <c r="D64" s="50">
        <v>381.0</v>
      </c>
      <c r="E64" s="50">
        <v>1199820.0</v>
      </c>
      <c r="F64" s="50">
        <v>390.0</v>
      </c>
      <c r="G64" s="50">
        <v>1080141.0</v>
      </c>
      <c r="H64" s="51">
        <v>385.0</v>
      </c>
      <c r="I64" s="50">
        <v>1210000.0</v>
      </c>
      <c r="J64" s="33">
        <v>372.0</v>
      </c>
      <c r="K64" s="33">
        <v>168306.0</v>
      </c>
      <c r="L64" s="32">
        <f t="shared" si="1"/>
        <v>-2.362204724</v>
      </c>
      <c r="M64" s="32">
        <f t="shared" si="2"/>
        <v>-4.615384615</v>
      </c>
      <c r="N64" s="32">
        <f t="shared" si="3"/>
        <v>-3.376623377</v>
      </c>
      <c r="O64" s="25"/>
      <c r="Q64" s="46"/>
      <c r="R64" s="2"/>
      <c r="S64" s="14"/>
      <c r="T64" s="17"/>
      <c r="U64" s="17"/>
      <c r="V64" s="17"/>
      <c r="W64" s="2"/>
      <c r="X64" s="2"/>
      <c r="Y64" s="2"/>
      <c r="Z64" s="25"/>
      <c r="AA64" s="25"/>
      <c r="AB64" s="25"/>
      <c r="AD64" s="25"/>
    </row>
    <row r="65">
      <c r="A65" s="5" t="s">
        <v>156</v>
      </c>
      <c r="B65" s="5">
        <v>18.0</v>
      </c>
      <c r="C65" s="5">
        <v>2.0</v>
      </c>
      <c r="D65" s="52">
        <v>383.0</v>
      </c>
      <c r="E65" s="52">
        <v>1199844.0</v>
      </c>
      <c r="F65" s="52">
        <v>388.0</v>
      </c>
      <c r="G65" s="52">
        <v>1199994.0</v>
      </c>
      <c r="H65" s="53">
        <v>385.0</v>
      </c>
      <c r="I65" s="52">
        <v>1210000.0</v>
      </c>
      <c r="J65" s="40">
        <v>372.0</v>
      </c>
      <c r="K65" s="5">
        <v>169427.0</v>
      </c>
      <c r="L65" s="32">
        <f t="shared" si="1"/>
        <v>-2.872062663</v>
      </c>
      <c r="M65" s="32">
        <f t="shared" si="2"/>
        <v>-4.12371134</v>
      </c>
      <c r="N65" s="32">
        <f t="shared" si="3"/>
        <v>-3.376623377</v>
      </c>
      <c r="O65" s="25"/>
      <c r="Q65" s="46"/>
      <c r="R65" s="2"/>
      <c r="S65" s="14"/>
      <c r="T65" s="17"/>
      <c r="U65" s="17"/>
      <c r="V65" s="17"/>
      <c r="W65" s="2"/>
      <c r="X65" s="2"/>
      <c r="Y65" s="2"/>
      <c r="Z65" s="25"/>
      <c r="AA65" s="25"/>
      <c r="AB65" s="25"/>
      <c r="AD65" s="25"/>
    </row>
    <row r="66">
      <c r="A66" s="5" t="s">
        <v>156</v>
      </c>
      <c r="B66" s="5">
        <v>18.0</v>
      </c>
      <c r="C66" s="5">
        <v>3.0</v>
      </c>
      <c r="D66" s="52">
        <v>383.0</v>
      </c>
      <c r="E66" s="52">
        <v>1199951.0</v>
      </c>
      <c r="F66" s="52">
        <v>391.0</v>
      </c>
      <c r="G66" s="52">
        <v>1080226.0</v>
      </c>
      <c r="H66" s="53">
        <v>385.0</v>
      </c>
      <c r="I66" s="52">
        <v>1210000.0</v>
      </c>
      <c r="J66" s="40">
        <v>373.0</v>
      </c>
      <c r="K66" s="5">
        <v>172250.0</v>
      </c>
      <c r="L66" s="32">
        <f t="shared" si="1"/>
        <v>-2.610966057</v>
      </c>
      <c r="M66" s="32">
        <f t="shared" si="2"/>
        <v>-4.603580563</v>
      </c>
      <c r="N66" s="32">
        <f t="shared" si="3"/>
        <v>-3.116883117</v>
      </c>
      <c r="O66" s="25"/>
      <c r="Q66" s="46"/>
      <c r="R66" s="2"/>
      <c r="S66" s="14"/>
      <c r="T66" s="17"/>
      <c r="U66" s="17"/>
      <c r="V66" s="17"/>
      <c r="W66" s="2"/>
      <c r="X66" s="2"/>
      <c r="Y66" s="2"/>
      <c r="Z66" s="47"/>
      <c r="AA66" s="25"/>
      <c r="AB66" s="25"/>
      <c r="AD66" s="25"/>
    </row>
    <row r="67">
      <c r="A67" s="42" t="s">
        <v>156</v>
      </c>
      <c r="B67" s="42">
        <v>18.0</v>
      </c>
      <c r="C67" s="42">
        <v>4.0</v>
      </c>
      <c r="D67" s="52">
        <v>379.0</v>
      </c>
      <c r="E67" s="52">
        <v>1200120.0</v>
      </c>
      <c r="F67" s="52">
        <v>391.0</v>
      </c>
      <c r="G67" s="52">
        <v>1308552.0</v>
      </c>
      <c r="H67" s="53">
        <v>384.0</v>
      </c>
      <c r="I67" s="52">
        <v>1210000.0</v>
      </c>
      <c r="J67" s="40">
        <v>371.0</v>
      </c>
      <c r="K67" s="42">
        <v>170560.0</v>
      </c>
      <c r="L67" s="32">
        <f t="shared" si="1"/>
        <v>-2.110817942</v>
      </c>
      <c r="M67" s="32">
        <f t="shared" si="2"/>
        <v>-5.115089514</v>
      </c>
      <c r="N67" s="32">
        <f t="shared" si="3"/>
        <v>-3.385416667</v>
      </c>
      <c r="U67" s="17"/>
    </row>
    <row r="68">
      <c r="A68" s="42" t="s">
        <v>156</v>
      </c>
      <c r="B68" s="42">
        <v>18.0</v>
      </c>
      <c r="C68" s="42">
        <v>5.0</v>
      </c>
      <c r="D68" s="54">
        <v>384.0</v>
      </c>
      <c r="E68" s="54">
        <v>1199827.0</v>
      </c>
      <c r="F68" s="54">
        <v>391.0</v>
      </c>
      <c r="G68" s="54">
        <v>1199994.0</v>
      </c>
      <c r="H68" s="55">
        <v>385.0</v>
      </c>
      <c r="I68" s="54">
        <v>1210000.0</v>
      </c>
      <c r="J68" s="42">
        <v>373.0</v>
      </c>
      <c r="K68" s="42">
        <v>171868.0</v>
      </c>
      <c r="L68" s="32">
        <f t="shared" si="1"/>
        <v>-2.864583333</v>
      </c>
      <c r="M68" s="32">
        <f t="shared" si="2"/>
        <v>-4.603580563</v>
      </c>
      <c r="N68" s="32">
        <f t="shared" si="3"/>
        <v>-3.116883117</v>
      </c>
    </row>
    <row r="69">
      <c r="A69" s="5" t="s">
        <v>156</v>
      </c>
      <c r="B69" s="49">
        <v>18.0</v>
      </c>
      <c r="C69" s="49">
        <v>6.0</v>
      </c>
      <c r="D69" s="54">
        <v>382.0</v>
      </c>
      <c r="E69" s="54">
        <v>1200201.0</v>
      </c>
      <c r="F69" s="54">
        <v>392.0</v>
      </c>
      <c r="G69" s="54">
        <v>1200027.0</v>
      </c>
      <c r="H69" s="56">
        <v>385.0</v>
      </c>
      <c r="I69" s="54">
        <v>1210000.0</v>
      </c>
      <c r="J69" s="42">
        <v>374.0</v>
      </c>
      <c r="K69" s="33">
        <v>175059.0</v>
      </c>
      <c r="L69" s="32">
        <f t="shared" si="1"/>
        <v>-2.094240838</v>
      </c>
      <c r="M69" s="32">
        <f t="shared" si="2"/>
        <v>-4.591836735</v>
      </c>
      <c r="N69" s="32">
        <f t="shared" si="3"/>
        <v>-2.857142857</v>
      </c>
      <c r="O69" s="11"/>
      <c r="P69" s="42"/>
      <c r="Q69" s="48"/>
      <c r="R69" s="42"/>
      <c r="S69" s="48"/>
      <c r="T69" s="42"/>
    </row>
    <row r="70">
      <c r="A70" s="5" t="s">
        <v>156</v>
      </c>
      <c r="B70" s="49">
        <v>18.0</v>
      </c>
      <c r="C70" s="49">
        <v>7.0</v>
      </c>
      <c r="D70" s="54">
        <v>385.0</v>
      </c>
      <c r="E70" s="54">
        <v>1199920.0</v>
      </c>
      <c r="F70" s="54">
        <v>391.0</v>
      </c>
      <c r="G70" s="54">
        <v>1080198.0</v>
      </c>
      <c r="H70" s="56">
        <v>386.0</v>
      </c>
      <c r="I70" s="54">
        <v>1210000.0</v>
      </c>
      <c r="J70" s="42">
        <v>374.0</v>
      </c>
      <c r="K70" s="33">
        <v>167562.0</v>
      </c>
      <c r="L70" s="32">
        <f t="shared" si="1"/>
        <v>-2.857142857</v>
      </c>
      <c r="M70" s="32">
        <f t="shared" si="2"/>
        <v>-4.347826087</v>
      </c>
      <c r="N70" s="32">
        <f t="shared" si="3"/>
        <v>-3.10880829</v>
      </c>
      <c r="O70" s="11"/>
      <c r="P70" s="42"/>
      <c r="Q70" s="48"/>
      <c r="R70" s="42"/>
      <c r="S70" s="48"/>
      <c r="T70" s="42"/>
    </row>
    <row r="71">
      <c r="A71" s="5" t="s">
        <v>156</v>
      </c>
      <c r="B71" s="49">
        <v>18.0</v>
      </c>
      <c r="C71" s="49">
        <v>8.0</v>
      </c>
      <c r="D71" s="54">
        <v>386.0</v>
      </c>
      <c r="E71" s="54">
        <v>1199939.0</v>
      </c>
      <c r="F71" s="54">
        <v>391.0</v>
      </c>
      <c r="G71" s="54">
        <v>1302011.0</v>
      </c>
      <c r="H71" s="56">
        <v>385.0</v>
      </c>
      <c r="I71" s="54">
        <v>1210000.0</v>
      </c>
      <c r="J71" s="42">
        <v>374.0</v>
      </c>
      <c r="K71" s="33">
        <v>171399.0</v>
      </c>
      <c r="L71" s="32">
        <f t="shared" si="1"/>
        <v>-3.10880829</v>
      </c>
      <c r="M71" s="32">
        <f t="shared" si="2"/>
        <v>-4.347826087</v>
      </c>
      <c r="N71" s="32">
        <f t="shared" si="3"/>
        <v>-2.857142857</v>
      </c>
      <c r="O71" s="11"/>
      <c r="P71" s="42"/>
      <c r="Q71" s="48"/>
      <c r="R71" s="42"/>
      <c r="S71" s="48"/>
      <c r="T71" s="42"/>
    </row>
    <row r="72">
      <c r="A72" s="5" t="s">
        <v>156</v>
      </c>
      <c r="B72" s="49">
        <v>18.0</v>
      </c>
      <c r="C72" s="49">
        <v>9.0</v>
      </c>
      <c r="D72" s="54">
        <v>383.0</v>
      </c>
      <c r="E72" s="54">
        <v>1200063.0</v>
      </c>
      <c r="F72" s="54">
        <v>391.0</v>
      </c>
      <c r="G72" s="54">
        <v>1199927.0</v>
      </c>
      <c r="H72" s="56">
        <v>385.0</v>
      </c>
      <c r="I72" s="54">
        <v>1210000.0</v>
      </c>
      <c r="J72" s="42">
        <v>372.0</v>
      </c>
      <c r="K72" s="33">
        <v>176005.0</v>
      </c>
      <c r="L72" s="32">
        <f t="shared" si="1"/>
        <v>-2.872062663</v>
      </c>
      <c r="M72" s="32">
        <f t="shared" si="2"/>
        <v>-4.859335038</v>
      </c>
      <c r="N72" s="32">
        <f t="shared" si="3"/>
        <v>-3.376623377</v>
      </c>
      <c r="O72" s="11"/>
      <c r="P72" s="42"/>
      <c r="Q72" s="48"/>
      <c r="R72" s="42"/>
      <c r="S72" s="48"/>
      <c r="T72" s="42"/>
    </row>
    <row r="73">
      <c r="A73" s="5" t="s">
        <v>156</v>
      </c>
      <c r="B73" s="49">
        <v>18.0</v>
      </c>
      <c r="C73" s="49">
        <v>10.0</v>
      </c>
      <c r="D73" s="54">
        <v>381.0</v>
      </c>
      <c r="E73" s="54">
        <v>1200154.0</v>
      </c>
      <c r="F73" s="54">
        <v>392.0</v>
      </c>
      <c r="G73" s="54">
        <v>1080154.0</v>
      </c>
      <c r="H73" s="56">
        <v>385.0</v>
      </c>
      <c r="I73" s="54">
        <v>1210000.0</v>
      </c>
      <c r="J73" s="42">
        <v>372.0</v>
      </c>
      <c r="K73" s="33">
        <v>171707.0</v>
      </c>
      <c r="L73" s="32">
        <f t="shared" si="1"/>
        <v>-2.362204724</v>
      </c>
      <c r="M73" s="32">
        <f t="shared" si="2"/>
        <v>-5.102040816</v>
      </c>
      <c r="N73" s="32">
        <f t="shared" si="3"/>
        <v>-3.376623377</v>
      </c>
      <c r="O73" s="11"/>
      <c r="P73" s="42"/>
      <c r="Q73" s="48"/>
      <c r="R73" s="42"/>
      <c r="S73" s="48"/>
      <c r="T73" s="42"/>
    </row>
    <row r="74">
      <c r="A74" s="5" t="s">
        <v>156</v>
      </c>
      <c r="B74" s="49">
        <v>20.0</v>
      </c>
      <c r="C74" s="49">
        <v>1.0</v>
      </c>
      <c r="D74" s="54">
        <v>387.0</v>
      </c>
      <c r="E74" s="54">
        <v>1199863.0</v>
      </c>
      <c r="F74" s="54">
        <v>393.0</v>
      </c>
      <c r="G74" s="54">
        <v>1308584.0</v>
      </c>
      <c r="H74" s="56">
        <v>387.0</v>
      </c>
      <c r="I74" s="54">
        <v>1210000.0</v>
      </c>
      <c r="J74" s="42">
        <v>377.0</v>
      </c>
      <c r="K74" s="33">
        <v>179931.0</v>
      </c>
      <c r="L74" s="32">
        <f t="shared" si="1"/>
        <v>-2.583979328</v>
      </c>
      <c r="M74" s="32">
        <f t="shared" si="2"/>
        <v>-4.071246819</v>
      </c>
      <c r="N74" s="32">
        <f t="shared" si="3"/>
        <v>-2.583979328</v>
      </c>
      <c r="O74" s="11"/>
      <c r="P74" s="42"/>
      <c r="Q74" s="48"/>
      <c r="R74" s="42"/>
      <c r="S74" s="48"/>
      <c r="T74" s="42"/>
    </row>
    <row r="75">
      <c r="A75" s="5" t="s">
        <v>156</v>
      </c>
      <c r="B75" s="49">
        <v>20.0</v>
      </c>
      <c r="C75" s="49">
        <v>2.0</v>
      </c>
      <c r="D75" s="54">
        <v>386.0</v>
      </c>
      <c r="E75" s="54">
        <v>1199819.0</v>
      </c>
      <c r="F75" s="54">
        <v>392.0</v>
      </c>
      <c r="G75" s="54">
        <v>1199959.0</v>
      </c>
      <c r="H75" s="56">
        <v>388.0</v>
      </c>
      <c r="I75" s="54">
        <v>1210000.0</v>
      </c>
      <c r="J75" s="42">
        <v>378.0</v>
      </c>
      <c r="K75" s="33">
        <v>187472.0</v>
      </c>
      <c r="L75" s="32">
        <f t="shared" si="1"/>
        <v>-2.07253886</v>
      </c>
      <c r="M75" s="32">
        <f t="shared" si="2"/>
        <v>-3.571428571</v>
      </c>
      <c r="N75" s="32">
        <f t="shared" si="3"/>
        <v>-2.577319588</v>
      </c>
      <c r="O75" s="11"/>
      <c r="P75" s="42"/>
      <c r="Q75" s="48"/>
      <c r="R75" s="42"/>
      <c r="S75" s="48"/>
      <c r="T75" s="42"/>
    </row>
    <row r="76">
      <c r="A76" s="5" t="s">
        <v>156</v>
      </c>
      <c r="B76" s="49">
        <v>20.0</v>
      </c>
      <c r="C76" s="49">
        <v>3.0</v>
      </c>
      <c r="D76" s="54">
        <v>388.0</v>
      </c>
      <c r="E76" s="54">
        <v>1199943.0</v>
      </c>
      <c r="F76" s="54">
        <v>394.0</v>
      </c>
      <c r="G76" s="54">
        <v>1080174.0</v>
      </c>
      <c r="H76" s="56">
        <v>387.0</v>
      </c>
      <c r="I76" s="54">
        <v>1210000.0</v>
      </c>
      <c r="J76" s="42">
        <v>378.0</v>
      </c>
      <c r="K76" s="33">
        <v>184974.0</v>
      </c>
      <c r="L76" s="32">
        <f t="shared" si="1"/>
        <v>-2.577319588</v>
      </c>
      <c r="M76" s="32">
        <f t="shared" si="2"/>
        <v>-4.060913706</v>
      </c>
      <c r="N76" s="32">
        <f t="shared" si="3"/>
        <v>-2.325581395</v>
      </c>
      <c r="O76" s="11"/>
      <c r="P76" s="42"/>
      <c r="Q76" s="48"/>
      <c r="R76" s="42"/>
      <c r="S76" s="48"/>
      <c r="T76" s="42"/>
    </row>
    <row r="77">
      <c r="A77" s="5" t="s">
        <v>156</v>
      </c>
      <c r="B77" s="49">
        <v>20.0</v>
      </c>
      <c r="C77" s="49">
        <v>4.0</v>
      </c>
      <c r="D77" s="54">
        <v>388.0</v>
      </c>
      <c r="E77" s="54">
        <v>1200070.0</v>
      </c>
      <c r="F77" s="54">
        <v>392.0</v>
      </c>
      <c r="G77" s="54">
        <v>1199963.0</v>
      </c>
      <c r="H77" s="56">
        <v>386.0</v>
      </c>
      <c r="I77" s="54">
        <v>1210000.0</v>
      </c>
      <c r="J77" s="42">
        <v>376.0</v>
      </c>
      <c r="K77" s="33">
        <v>181550.0</v>
      </c>
      <c r="L77" s="32">
        <f t="shared" si="1"/>
        <v>-3.092783505</v>
      </c>
      <c r="M77" s="32">
        <f t="shared" si="2"/>
        <v>-4.081632653</v>
      </c>
      <c r="N77" s="32">
        <f t="shared" si="3"/>
        <v>-2.590673575</v>
      </c>
      <c r="O77" s="11"/>
      <c r="P77" s="42"/>
      <c r="Q77" s="48"/>
      <c r="R77" s="42"/>
      <c r="S77" s="48"/>
      <c r="T77" s="42"/>
    </row>
    <row r="78">
      <c r="A78" s="5" t="s">
        <v>156</v>
      </c>
      <c r="B78" s="49">
        <v>20.0</v>
      </c>
      <c r="C78" s="49">
        <v>5.0</v>
      </c>
      <c r="D78" s="54">
        <v>386.0</v>
      </c>
      <c r="E78" s="54">
        <v>1199971.0</v>
      </c>
      <c r="F78" s="54">
        <v>392.0</v>
      </c>
      <c r="G78" s="54">
        <v>1200068.0</v>
      </c>
      <c r="H78" s="56">
        <v>387.0</v>
      </c>
      <c r="I78" s="54">
        <v>1210000.0</v>
      </c>
      <c r="J78" s="42">
        <v>377.0</v>
      </c>
      <c r="K78" s="33">
        <v>192102.0</v>
      </c>
      <c r="L78" s="32">
        <f t="shared" si="1"/>
        <v>-2.331606218</v>
      </c>
      <c r="M78" s="32">
        <f t="shared" si="2"/>
        <v>-3.826530612</v>
      </c>
      <c r="N78" s="32">
        <f t="shared" si="3"/>
        <v>-2.583979328</v>
      </c>
      <c r="O78" s="11"/>
      <c r="P78" s="42"/>
      <c r="Q78" s="48"/>
      <c r="R78" s="42"/>
      <c r="S78" s="48"/>
      <c r="T78" s="42"/>
    </row>
    <row r="79">
      <c r="A79" s="5" t="s">
        <v>156</v>
      </c>
      <c r="B79" s="49">
        <v>20.0</v>
      </c>
      <c r="C79" s="49">
        <v>6.0</v>
      </c>
      <c r="D79" s="54">
        <v>386.0</v>
      </c>
      <c r="E79" s="54">
        <v>1200141.0</v>
      </c>
      <c r="F79" s="54">
        <v>391.0</v>
      </c>
      <c r="G79" s="54">
        <v>1200042.0</v>
      </c>
      <c r="H79" s="56">
        <v>387.0</v>
      </c>
      <c r="I79" s="54">
        <v>1210000.0</v>
      </c>
      <c r="J79" s="42">
        <v>378.0</v>
      </c>
      <c r="K79" s="33">
        <v>185857.0</v>
      </c>
      <c r="L79" s="32">
        <f t="shared" si="1"/>
        <v>-2.07253886</v>
      </c>
      <c r="M79" s="32">
        <f t="shared" si="2"/>
        <v>-3.324808184</v>
      </c>
      <c r="N79" s="32">
        <f t="shared" si="3"/>
        <v>-2.325581395</v>
      </c>
      <c r="O79" s="11"/>
      <c r="P79" s="42"/>
      <c r="Q79" s="48"/>
      <c r="R79" s="42"/>
      <c r="S79" s="48"/>
      <c r="T79" s="42"/>
    </row>
    <row r="80">
      <c r="A80" s="5" t="s">
        <v>156</v>
      </c>
      <c r="B80" s="49">
        <v>20.0</v>
      </c>
      <c r="C80" s="49">
        <v>7.0</v>
      </c>
      <c r="D80" s="54">
        <v>386.0</v>
      </c>
      <c r="E80" s="54">
        <v>1200191.0</v>
      </c>
      <c r="F80" s="54">
        <v>392.0</v>
      </c>
      <c r="G80" s="54">
        <v>1325339.0</v>
      </c>
      <c r="H80" s="56">
        <v>387.0</v>
      </c>
      <c r="I80" s="54">
        <v>1210000.0</v>
      </c>
      <c r="J80" s="42">
        <v>379.0</v>
      </c>
      <c r="K80" s="33">
        <v>182437.0</v>
      </c>
      <c r="L80" s="32">
        <f t="shared" si="1"/>
        <v>-1.813471503</v>
      </c>
      <c r="M80" s="32">
        <f t="shared" si="2"/>
        <v>-3.316326531</v>
      </c>
      <c r="N80" s="32">
        <f t="shared" si="3"/>
        <v>-2.067183463</v>
      </c>
      <c r="O80" s="11"/>
      <c r="P80" s="42"/>
      <c r="Q80" s="48"/>
      <c r="R80" s="42"/>
      <c r="S80" s="48"/>
      <c r="T80" s="42"/>
    </row>
    <row r="81">
      <c r="A81" s="5" t="s">
        <v>156</v>
      </c>
      <c r="B81" s="49">
        <v>20.0</v>
      </c>
      <c r="C81" s="49">
        <v>8.0</v>
      </c>
      <c r="D81" s="54">
        <v>387.0</v>
      </c>
      <c r="E81" s="54">
        <v>1200061.0</v>
      </c>
      <c r="F81" s="54">
        <v>393.0</v>
      </c>
      <c r="G81" s="54">
        <v>1199971.0</v>
      </c>
      <c r="H81" s="56">
        <v>386.0</v>
      </c>
      <c r="I81" s="54">
        <v>1210000.0</v>
      </c>
      <c r="J81" s="42">
        <v>379.0</v>
      </c>
      <c r="K81" s="33">
        <v>186252.0</v>
      </c>
      <c r="L81" s="32">
        <f t="shared" si="1"/>
        <v>-2.067183463</v>
      </c>
      <c r="M81" s="32">
        <f t="shared" si="2"/>
        <v>-3.562340967</v>
      </c>
      <c r="N81" s="32">
        <f t="shared" si="3"/>
        <v>-1.813471503</v>
      </c>
      <c r="O81" s="11"/>
      <c r="P81" s="42"/>
      <c r="Q81" s="48"/>
      <c r="R81" s="42"/>
      <c r="S81" s="48"/>
      <c r="T81" s="42"/>
    </row>
    <row r="82">
      <c r="A82" s="5" t="s">
        <v>156</v>
      </c>
      <c r="B82" s="49">
        <v>20.0</v>
      </c>
      <c r="C82" s="49">
        <v>9.0</v>
      </c>
      <c r="D82" s="54">
        <v>387.0</v>
      </c>
      <c r="E82" s="54">
        <v>1200152.0</v>
      </c>
      <c r="F82" s="54">
        <v>390.0</v>
      </c>
      <c r="G82" s="54">
        <v>1199988.0</v>
      </c>
      <c r="H82" s="56">
        <v>387.0</v>
      </c>
      <c r="I82" s="54">
        <v>1210000.0</v>
      </c>
      <c r="J82" s="42">
        <v>378.0</v>
      </c>
      <c r="K82" s="33">
        <v>189267.0</v>
      </c>
      <c r="L82" s="32">
        <f t="shared" si="1"/>
        <v>-2.325581395</v>
      </c>
      <c r="M82" s="32">
        <f t="shared" si="2"/>
        <v>-3.076923077</v>
      </c>
      <c r="N82" s="32">
        <f t="shared" si="3"/>
        <v>-2.325581395</v>
      </c>
      <c r="O82" s="11"/>
      <c r="P82" s="42"/>
      <c r="Q82" s="48"/>
      <c r="R82" s="42"/>
      <c r="S82" s="48"/>
      <c r="T82" s="42"/>
    </row>
    <row r="83">
      <c r="A83" s="5" t="s">
        <v>156</v>
      </c>
      <c r="B83" s="49">
        <v>20.0</v>
      </c>
      <c r="C83" s="49">
        <v>10.0</v>
      </c>
      <c r="D83" s="54">
        <v>386.0</v>
      </c>
      <c r="E83" s="54">
        <v>1200024.0</v>
      </c>
      <c r="F83" s="54">
        <v>390.0</v>
      </c>
      <c r="G83" s="54">
        <v>1316335.0</v>
      </c>
      <c r="H83" s="56">
        <v>387.0</v>
      </c>
      <c r="I83" s="54">
        <v>1210000.0</v>
      </c>
      <c r="J83" s="42">
        <v>378.0</v>
      </c>
      <c r="K83" s="33">
        <v>184430.0</v>
      </c>
      <c r="L83" s="32">
        <f t="shared" si="1"/>
        <v>-2.07253886</v>
      </c>
      <c r="M83" s="32">
        <f t="shared" si="2"/>
        <v>-3.076923077</v>
      </c>
      <c r="N83" s="32">
        <f t="shared" si="3"/>
        <v>-2.325581395</v>
      </c>
      <c r="O83" s="11"/>
      <c r="P83" s="42"/>
      <c r="Q83" s="48"/>
      <c r="R83" s="42"/>
      <c r="S83" s="48"/>
      <c r="T83" s="42"/>
    </row>
    <row r="84">
      <c r="A84" s="5" t="s">
        <v>156</v>
      </c>
      <c r="B84" s="49">
        <v>24.0</v>
      </c>
      <c r="C84" s="49">
        <v>1.0</v>
      </c>
      <c r="D84" s="54">
        <v>391.0</v>
      </c>
      <c r="E84" s="54">
        <v>1200207.0</v>
      </c>
      <c r="F84" s="54">
        <v>394.0</v>
      </c>
      <c r="G84" s="54">
        <v>1200043.0</v>
      </c>
      <c r="H84" s="56">
        <v>390.0</v>
      </c>
      <c r="I84" s="54">
        <v>1210000.0</v>
      </c>
      <c r="J84" s="42">
        <v>384.0</v>
      </c>
      <c r="K84" s="33">
        <v>215299.0</v>
      </c>
      <c r="L84" s="32">
        <f t="shared" si="1"/>
        <v>-1.79028133</v>
      </c>
      <c r="M84" s="32">
        <f t="shared" si="2"/>
        <v>-2.538071066</v>
      </c>
      <c r="N84" s="32">
        <f t="shared" si="3"/>
        <v>-1.538461538</v>
      </c>
      <c r="O84" s="11"/>
      <c r="P84" s="42"/>
      <c r="Q84" s="48"/>
      <c r="R84" s="42"/>
      <c r="S84" s="48"/>
      <c r="T84" s="42"/>
    </row>
    <row r="85">
      <c r="A85" s="5" t="s">
        <v>156</v>
      </c>
      <c r="B85" s="49">
        <v>24.0</v>
      </c>
      <c r="C85" s="49">
        <v>2.0</v>
      </c>
      <c r="D85" s="54">
        <v>389.0</v>
      </c>
      <c r="E85" s="54">
        <v>1200162.0</v>
      </c>
      <c r="F85" s="54">
        <v>395.0</v>
      </c>
      <c r="G85" s="54">
        <v>1080183.0</v>
      </c>
      <c r="H85" s="56">
        <v>390.0</v>
      </c>
      <c r="I85" s="54">
        <v>1210000.0</v>
      </c>
      <c r="J85" s="42">
        <v>384.0</v>
      </c>
      <c r="K85" s="33">
        <v>215808.0</v>
      </c>
      <c r="L85" s="32">
        <f t="shared" si="1"/>
        <v>-1.285347044</v>
      </c>
      <c r="M85" s="32">
        <f t="shared" si="2"/>
        <v>-2.784810127</v>
      </c>
      <c r="N85" s="32">
        <f t="shared" si="3"/>
        <v>-1.538461538</v>
      </c>
      <c r="O85" s="11"/>
      <c r="P85" s="42"/>
      <c r="Q85" s="48"/>
      <c r="R85" s="42"/>
      <c r="S85" s="48"/>
      <c r="T85" s="42"/>
    </row>
    <row r="86">
      <c r="A86" s="5" t="s">
        <v>156</v>
      </c>
      <c r="B86" s="49">
        <v>24.0</v>
      </c>
      <c r="C86" s="49">
        <v>3.0</v>
      </c>
      <c r="D86" s="54">
        <v>390.0</v>
      </c>
      <c r="E86" s="54">
        <v>1199828.0</v>
      </c>
      <c r="F86" s="54">
        <v>393.0</v>
      </c>
      <c r="G86" s="54">
        <v>1080160.0</v>
      </c>
      <c r="H86" s="56">
        <v>391.0</v>
      </c>
      <c r="I86" s="54">
        <v>1210000.0</v>
      </c>
      <c r="J86" s="42">
        <v>384.0</v>
      </c>
      <c r="K86" s="33">
        <v>217087.0</v>
      </c>
      <c r="L86" s="32">
        <f t="shared" si="1"/>
        <v>-1.538461538</v>
      </c>
      <c r="M86" s="32">
        <f t="shared" si="2"/>
        <v>-2.290076336</v>
      </c>
      <c r="N86" s="32">
        <f t="shared" si="3"/>
        <v>-1.79028133</v>
      </c>
      <c r="O86" s="11"/>
      <c r="P86" s="42"/>
      <c r="Q86" s="48"/>
      <c r="R86" s="42"/>
      <c r="S86" s="48"/>
      <c r="T86" s="42"/>
    </row>
    <row r="87">
      <c r="A87" s="5" t="s">
        <v>156</v>
      </c>
      <c r="B87" s="49">
        <v>24.0</v>
      </c>
      <c r="C87" s="49">
        <v>4.0</v>
      </c>
      <c r="D87" s="52">
        <v>389.0</v>
      </c>
      <c r="E87" s="52">
        <v>1200129.0</v>
      </c>
      <c r="F87" s="52">
        <v>393.0</v>
      </c>
      <c r="G87" s="52">
        <v>1199968.0</v>
      </c>
      <c r="H87" s="53">
        <v>391.0</v>
      </c>
      <c r="I87" s="52">
        <v>1210000.0</v>
      </c>
      <c r="J87" s="40">
        <v>384.0</v>
      </c>
      <c r="K87" s="33">
        <v>215891.0</v>
      </c>
      <c r="L87" s="32">
        <f t="shared" si="1"/>
        <v>-1.285347044</v>
      </c>
      <c r="M87" s="32">
        <f t="shared" si="2"/>
        <v>-2.290076336</v>
      </c>
      <c r="N87" s="32">
        <f t="shared" si="3"/>
        <v>-1.79028133</v>
      </c>
    </row>
    <row r="88">
      <c r="A88" s="5" t="s">
        <v>156</v>
      </c>
      <c r="B88" s="49">
        <v>24.0</v>
      </c>
      <c r="C88" s="49">
        <v>5.0</v>
      </c>
      <c r="D88" s="52">
        <v>389.0</v>
      </c>
      <c r="E88" s="52">
        <v>1199896.0</v>
      </c>
      <c r="F88" s="52">
        <v>394.0</v>
      </c>
      <c r="G88" s="52">
        <v>1200011.0</v>
      </c>
      <c r="H88" s="53">
        <v>391.0</v>
      </c>
      <c r="I88" s="52">
        <v>1210000.0</v>
      </c>
      <c r="J88" s="40">
        <v>385.0</v>
      </c>
      <c r="K88" s="33">
        <v>213448.0</v>
      </c>
      <c r="L88" s="32">
        <f t="shared" si="1"/>
        <v>-1.028277635</v>
      </c>
      <c r="M88" s="32">
        <f t="shared" si="2"/>
        <v>-2.284263959</v>
      </c>
      <c r="N88" s="32">
        <f t="shared" si="3"/>
        <v>-1.534526854</v>
      </c>
    </row>
    <row r="89">
      <c r="A89" s="5" t="s">
        <v>156</v>
      </c>
      <c r="B89" s="49">
        <v>24.0</v>
      </c>
      <c r="C89" s="49">
        <v>6.0</v>
      </c>
      <c r="D89" s="52">
        <v>390.0</v>
      </c>
      <c r="E89" s="52">
        <v>1199933.0</v>
      </c>
      <c r="F89" s="52">
        <v>393.0</v>
      </c>
      <c r="G89" s="52">
        <v>1080207.0</v>
      </c>
      <c r="H89" s="53">
        <v>391.0</v>
      </c>
      <c r="I89" s="52">
        <v>1210000.0</v>
      </c>
      <c r="J89" s="40">
        <v>385.0</v>
      </c>
      <c r="K89" s="33">
        <v>211247.0</v>
      </c>
      <c r="L89" s="32">
        <f t="shared" si="1"/>
        <v>-1.282051282</v>
      </c>
      <c r="M89" s="32">
        <f t="shared" si="2"/>
        <v>-2.03562341</v>
      </c>
      <c r="N89" s="32">
        <f t="shared" si="3"/>
        <v>-1.534526854</v>
      </c>
    </row>
    <row r="90">
      <c r="A90" s="5" t="s">
        <v>156</v>
      </c>
      <c r="B90" s="49">
        <v>24.0</v>
      </c>
      <c r="C90" s="49">
        <v>7.0</v>
      </c>
      <c r="D90" s="52">
        <v>390.0</v>
      </c>
      <c r="E90" s="52">
        <v>1200194.0</v>
      </c>
      <c r="F90" s="52">
        <v>394.0</v>
      </c>
      <c r="G90" s="52">
        <v>1200007.0</v>
      </c>
      <c r="H90" s="53">
        <v>391.0</v>
      </c>
      <c r="I90" s="52">
        <v>1210000.0</v>
      </c>
      <c r="J90" s="40">
        <v>385.0</v>
      </c>
      <c r="K90" s="33">
        <v>219472.0</v>
      </c>
      <c r="L90" s="32">
        <f t="shared" si="1"/>
        <v>-1.282051282</v>
      </c>
      <c r="M90" s="32">
        <f t="shared" si="2"/>
        <v>-2.284263959</v>
      </c>
      <c r="N90" s="32">
        <f t="shared" si="3"/>
        <v>-1.534526854</v>
      </c>
    </row>
    <row r="91">
      <c r="A91" s="5" t="s">
        <v>156</v>
      </c>
      <c r="B91" s="49">
        <v>24.0</v>
      </c>
      <c r="C91" s="49">
        <v>8.0</v>
      </c>
      <c r="D91" s="52">
        <v>390.0</v>
      </c>
      <c r="E91" s="52">
        <v>1199881.0</v>
      </c>
      <c r="F91" s="52">
        <v>394.0</v>
      </c>
      <c r="G91" s="52">
        <v>1080157.0</v>
      </c>
      <c r="H91" s="53">
        <v>391.0</v>
      </c>
      <c r="I91" s="52">
        <v>1210000.0</v>
      </c>
      <c r="J91" s="40">
        <v>385.0</v>
      </c>
      <c r="K91" s="33">
        <v>215799.0</v>
      </c>
      <c r="L91" s="32">
        <f t="shared" si="1"/>
        <v>-1.282051282</v>
      </c>
      <c r="M91" s="32">
        <f t="shared" si="2"/>
        <v>-2.284263959</v>
      </c>
      <c r="N91" s="32">
        <f t="shared" si="3"/>
        <v>-1.534526854</v>
      </c>
    </row>
    <row r="92">
      <c r="A92" s="5" t="s">
        <v>156</v>
      </c>
      <c r="B92" s="49">
        <v>24.0</v>
      </c>
      <c r="C92" s="49">
        <v>9.0</v>
      </c>
      <c r="D92" s="52">
        <v>390.0</v>
      </c>
      <c r="E92" s="52">
        <v>1200180.0</v>
      </c>
      <c r="F92" s="52">
        <v>395.0</v>
      </c>
      <c r="G92" s="52">
        <v>1485390.0</v>
      </c>
      <c r="H92" s="53">
        <v>391.0</v>
      </c>
      <c r="I92" s="52">
        <v>1210000.0</v>
      </c>
      <c r="J92" s="40">
        <v>385.0</v>
      </c>
      <c r="K92" s="33">
        <v>218619.0</v>
      </c>
      <c r="L92" s="32">
        <f t="shared" si="1"/>
        <v>-1.282051282</v>
      </c>
      <c r="M92" s="32">
        <f t="shared" si="2"/>
        <v>-2.53164557</v>
      </c>
      <c r="N92" s="32">
        <f t="shared" si="3"/>
        <v>-1.534526854</v>
      </c>
    </row>
    <row r="93">
      <c r="A93" s="5" t="s">
        <v>156</v>
      </c>
      <c r="B93" s="49">
        <v>24.0</v>
      </c>
      <c r="C93" s="49">
        <v>10.0</v>
      </c>
      <c r="D93" s="52">
        <v>392.0</v>
      </c>
      <c r="E93" s="52">
        <v>1199829.0</v>
      </c>
      <c r="F93" s="52">
        <v>393.0</v>
      </c>
      <c r="G93" s="52">
        <v>1080113.0</v>
      </c>
      <c r="H93" s="53">
        <v>391.0</v>
      </c>
      <c r="I93" s="52">
        <v>1210000.0</v>
      </c>
      <c r="J93" s="40">
        <v>385.0</v>
      </c>
      <c r="K93" s="33">
        <v>213444.0</v>
      </c>
      <c r="L93" s="32">
        <f t="shared" si="1"/>
        <v>-1.785714286</v>
      </c>
      <c r="M93" s="32">
        <f t="shared" si="2"/>
        <v>-2.03562341</v>
      </c>
      <c r="N93" s="32">
        <f t="shared" si="3"/>
        <v>-1.534526854</v>
      </c>
    </row>
    <row r="94">
      <c r="A94" s="5" t="s">
        <v>156</v>
      </c>
      <c r="B94" s="49">
        <v>28.0</v>
      </c>
      <c r="C94" s="49">
        <v>1.0</v>
      </c>
      <c r="D94" s="52">
        <v>393.0</v>
      </c>
      <c r="E94" s="52">
        <v>1199992.0</v>
      </c>
      <c r="F94" s="52">
        <v>395.0</v>
      </c>
      <c r="G94" s="52">
        <v>1200006.0</v>
      </c>
      <c r="H94" s="53">
        <v>394.0</v>
      </c>
      <c r="I94" s="52">
        <v>1210000.0</v>
      </c>
      <c r="J94" s="40">
        <v>390.0</v>
      </c>
      <c r="K94" s="33">
        <v>243763.0</v>
      </c>
      <c r="L94" s="32">
        <f t="shared" si="1"/>
        <v>-0.7633587786</v>
      </c>
      <c r="M94" s="32">
        <f t="shared" si="2"/>
        <v>-1.265822785</v>
      </c>
      <c r="N94" s="32">
        <f t="shared" si="3"/>
        <v>-1.015228426</v>
      </c>
    </row>
    <row r="95">
      <c r="A95" s="5" t="s">
        <v>156</v>
      </c>
      <c r="B95" s="49">
        <v>28.0</v>
      </c>
      <c r="C95" s="49">
        <v>2.0</v>
      </c>
      <c r="D95" s="52">
        <v>392.0</v>
      </c>
      <c r="E95" s="52">
        <v>1200117.0</v>
      </c>
      <c r="F95" s="52">
        <v>395.0</v>
      </c>
      <c r="G95" s="52">
        <v>1199957.0</v>
      </c>
      <c r="H95" s="53">
        <v>393.0</v>
      </c>
      <c r="I95" s="52">
        <v>1210000.0</v>
      </c>
      <c r="J95" s="40">
        <v>389.0</v>
      </c>
      <c r="K95" s="33">
        <v>241769.0</v>
      </c>
      <c r="L95" s="32">
        <f t="shared" si="1"/>
        <v>-0.7653061224</v>
      </c>
      <c r="M95" s="32">
        <f t="shared" si="2"/>
        <v>-1.518987342</v>
      </c>
      <c r="N95" s="32">
        <f t="shared" si="3"/>
        <v>-1.017811705</v>
      </c>
    </row>
    <row r="96">
      <c r="A96" s="5" t="s">
        <v>156</v>
      </c>
      <c r="B96" s="49">
        <v>28.0</v>
      </c>
      <c r="C96" s="49">
        <v>3.0</v>
      </c>
      <c r="D96" s="52">
        <v>393.0</v>
      </c>
      <c r="E96" s="52">
        <v>1200032.0</v>
      </c>
      <c r="F96" s="52">
        <v>395.0</v>
      </c>
      <c r="G96" s="52">
        <v>1080189.0</v>
      </c>
      <c r="H96" s="53">
        <v>393.0</v>
      </c>
      <c r="I96" s="52">
        <v>1210000.0</v>
      </c>
      <c r="J96" s="40">
        <v>389.0</v>
      </c>
      <c r="K96" s="33">
        <v>234375.0</v>
      </c>
      <c r="L96" s="32">
        <f t="shared" si="1"/>
        <v>-1.017811705</v>
      </c>
      <c r="M96" s="32">
        <f t="shared" si="2"/>
        <v>-1.518987342</v>
      </c>
      <c r="N96" s="32">
        <f t="shared" si="3"/>
        <v>-1.017811705</v>
      </c>
    </row>
    <row r="97">
      <c r="A97" s="5" t="s">
        <v>156</v>
      </c>
      <c r="B97" s="49">
        <v>28.0</v>
      </c>
      <c r="C97" s="49">
        <v>4.0</v>
      </c>
      <c r="D97" s="52">
        <v>392.0</v>
      </c>
      <c r="E97" s="52">
        <v>1200058.0</v>
      </c>
      <c r="F97" s="52">
        <v>395.0</v>
      </c>
      <c r="G97" s="52">
        <v>1200019.0</v>
      </c>
      <c r="H97" s="53">
        <v>392.0</v>
      </c>
      <c r="I97" s="52">
        <v>1210000.0</v>
      </c>
      <c r="J97" s="40">
        <v>389.0</v>
      </c>
      <c r="K97" s="33">
        <v>241882.0</v>
      </c>
      <c r="L97" s="32">
        <f t="shared" si="1"/>
        <v>-0.7653061224</v>
      </c>
      <c r="M97" s="32">
        <f t="shared" si="2"/>
        <v>-1.518987342</v>
      </c>
      <c r="N97" s="32">
        <f t="shared" si="3"/>
        <v>-0.7653061224</v>
      </c>
    </row>
    <row r="98">
      <c r="A98" s="5" t="s">
        <v>156</v>
      </c>
      <c r="B98" s="49">
        <v>28.0</v>
      </c>
      <c r="C98" s="49">
        <v>5.0</v>
      </c>
      <c r="D98" s="52">
        <v>393.0</v>
      </c>
      <c r="E98" s="52">
        <v>1200133.0</v>
      </c>
      <c r="F98" s="52">
        <v>395.0</v>
      </c>
      <c r="G98" s="52">
        <v>1080189.0</v>
      </c>
      <c r="H98" s="53">
        <v>393.0</v>
      </c>
      <c r="I98" s="52">
        <v>1210000.0</v>
      </c>
      <c r="J98" s="40">
        <v>389.0</v>
      </c>
      <c r="K98" s="33">
        <v>236947.0</v>
      </c>
      <c r="L98" s="32">
        <f t="shared" si="1"/>
        <v>-1.017811705</v>
      </c>
      <c r="M98" s="32">
        <f t="shared" si="2"/>
        <v>-1.518987342</v>
      </c>
      <c r="N98" s="32">
        <f t="shared" si="3"/>
        <v>-1.017811705</v>
      </c>
    </row>
    <row r="99">
      <c r="A99" s="5" t="s">
        <v>156</v>
      </c>
      <c r="B99" s="49">
        <v>28.0</v>
      </c>
      <c r="C99" s="49">
        <v>6.0</v>
      </c>
      <c r="D99" s="52">
        <v>393.0</v>
      </c>
      <c r="E99" s="52">
        <v>1199964.0</v>
      </c>
      <c r="F99" s="52">
        <v>395.0</v>
      </c>
      <c r="G99" s="52">
        <v>1199954.0</v>
      </c>
      <c r="H99" s="53">
        <v>393.0</v>
      </c>
      <c r="I99" s="52">
        <v>1210000.0</v>
      </c>
      <c r="J99" s="40">
        <v>389.0</v>
      </c>
      <c r="K99" s="33">
        <v>244067.0</v>
      </c>
      <c r="L99" s="32">
        <f t="shared" si="1"/>
        <v>-1.017811705</v>
      </c>
      <c r="M99" s="32">
        <f t="shared" si="2"/>
        <v>-1.518987342</v>
      </c>
      <c r="N99" s="32">
        <f t="shared" si="3"/>
        <v>-1.017811705</v>
      </c>
    </row>
    <row r="100">
      <c r="A100" s="5" t="s">
        <v>156</v>
      </c>
      <c r="B100" s="49">
        <v>28.0</v>
      </c>
      <c r="C100" s="49">
        <v>7.0</v>
      </c>
      <c r="D100" s="52">
        <v>393.0</v>
      </c>
      <c r="E100" s="52">
        <v>1199978.0</v>
      </c>
      <c r="F100" s="52">
        <v>395.0</v>
      </c>
      <c r="G100" s="52">
        <v>1199990.0</v>
      </c>
      <c r="H100" s="53">
        <v>393.0</v>
      </c>
      <c r="I100" s="52">
        <v>1210000.0</v>
      </c>
      <c r="J100" s="40">
        <v>389.0</v>
      </c>
      <c r="K100" s="33">
        <v>244307.0</v>
      </c>
      <c r="L100" s="32">
        <f t="shared" si="1"/>
        <v>-1.017811705</v>
      </c>
      <c r="M100" s="32">
        <f t="shared" si="2"/>
        <v>-1.518987342</v>
      </c>
      <c r="N100" s="32">
        <f t="shared" si="3"/>
        <v>-1.017811705</v>
      </c>
    </row>
    <row r="101">
      <c r="A101" s="5" t="s">
        <v>156</v>
      </c>
      <c r="B101" s="49">
        <v>28.0</v>
      </c>
      <c r="C101" s="49">
        <v>8.0</v>
      </c>
      <c r="D101" s="52">
        <v>393.0</v>
      </c>
      <c r="E101" s="52">
        <v>1200050.0</v>
      </c>
      <c r="F101" s="52">
        <v>395.0</v>
      </c>
      <c r="G101" s="52">
        <v>1080211.0</v>
      </c>
      <c r="H101" s="53">
        <v>393.0</v>
      </c>
      <c r="I101" s="52">
        <v>1210000.0</v>
      </c>
      <c r="J101" s="40">
        <v>390.0</v>
      </c>
      <c r="K101" s="33">
        <v>238993.0</v>
      </c>
      <c r="L101" s="32">
        <f t="shared" si="1"/>
        <v>-0.7633587786</v>
      </c>
      <c r="M101" s="32">
        <f t="shared" si="2"/>
        <v>-1.265822785</v>
      </c>
      <c r="N101" s="32">
        <f t="shared" si="3"/>
        <v>-0.7633587786</v>
      </c>
    </row>
    <row r="102">
      <c r="A102" s="5" t="s">
        <v>156</v>
      </c>
      <c r="B102" s="49">
        <v>28.0</v>
      </c>
      <c r="C102" s="49">
        <v>9.0</v>
      </c>
      <c r="D102" s="52">
        <v>393.0</v>
      </c>
      <c r="E102" s="52">
        <v>1199936.0</v>
      </c>
      <c r="F102" s="52">
        <v>395.0</v>
      </c>
      <c r="G102" s="52">
        <v>1199992.0</v>
      </c>
      <c r="H102" s="53">
        <v>393.0</v>
      </c>
      <c r="I102" s="52">
        <v>1210000.0</v>
      </c>
      <c r="J102" s="40">
        <v>388.0</v>
      </c>
      <c r="K102" s="33">
        <v>245345.0</v>
      </c>
      <c r="L102" s="32">
        <f t="shared" si="1"/>
        <v>-1.272264631</v>
      </c>
      <c r="M102" s="32">
        <f t="shared" si="2"/>
        <v>-1.772151899</v>
      </c>
      <c r="N102" s="32">
        <f t="shared" si="3"/>
        <v>-1.272264631</v>
      </c>
    </row>
    <row r="103">
      <c r="A103" s="5" t="s">
        <v>156</v>
      </c>
      <c r="B103" s="49">
        <v>28.0</v>
      </c>
      <c r="C103" s="49">
        <v>10.0</v>
      </c>
      <c r="D103" s="52">
        <v>392.0</v>
      </c>
      <c r="E103" s="52">
        <v>1200126.0</v>
      </c>
      <c r="F103" s="52">
        <v>395.0</v>
      </c>
      <c r="G103" s="52">
        <v>1199979.0</v>
      </c>
      <c r="H103" s="53">
        <v>393.0</v>
      </c>
      <c r="I103" s="52">
        <v>1210000.0</v>
      </c>
      <c r="J103" s="40">
        <v>388.0</v>
      </c>
      <c r="K103" s="33">
        <v>235991.0</v>
      </c>
      <c r="L103" s="32">
        <f t="shared" si="1"/>
        <v>-1.020408163</v>
      </c>
      <c r="M103" s="32">
        <f t="shared" si="2"/>
        <v>-1.772151899</v>
      </c>
      <c r="N103" s="32">
        <f t="shared" si="3"/>
        <v>-1.272264631</v>
      </c>
    </row>
    <row r="104">
      <c r="A104" s="5" t="s">
        <v>156</v>
      </c>
      <c r="B104" s="49">
        <v>30.0</v>
      </c>
      <c r="C104" s="49">
        <v>1.0</v>
      </c>
      <c r="D104" s="52">
        <v>394.0</v>
      </c>
      <c r="E104" s="52">
        <v>1200006.0</v>
      </c>
      <c r="F104" s="52">
        <v>395.0</v>
      </c>
      <c r="G104" s="52">
        <v>1080202.0</v>
      </c>
      <c r="H104" s="53">
        <v>394.0</v>
      </c>
      <c r="I104" s="52">
        <v>1210000.0</v>
      </c>
      <c r="J104" s="40">
        <v>390.0</v>
      </c>
      <c r="K104" s="33">
        <v>258371.0</v>
      </c>
      <c r="L104" s="32">
        <f t="shared" si="1"/>
        <v>-1.015228426</v>
      </c>
      <c r="M104" s="32">
        <f t="shared" si="2"/>
        <v>-1.265822785</v>
      </c>
      <c r="N104" s="32">
        <f t="shared" si="3"/>
        <v>-1.015228426</v>
      </c>
    </row>
    <row r="105">
      <c r="A105" s="5" t="s">
        <v>156</v>
      </c>
      <c r="B105" s="49">
        <v>30.0</v>
      </c>
      <c r="C105" s="49">
        <v>2.0</v>
      </c>
      <c r="D105" s="52">
        <v>395.0</v>
      </c>
      <c r="E105" s="52">
        <v>1200108.0</v>
      </c>
      <c r="F105" s="52">
        <v>396.0</v>
      </c>
      <c r="G105" s="52">
        <v>1200023.0</v>
      </c>
      <c r="H105" s="53">
        <v>394.0</v>
      </c>
      <c r="I105" s="52">
        <v>1210000.0</v>
      </c>
      <c r="J105" s="40">
        <v>391.0</v>
      </c>
      <c r="K105" s="33">
        <v>261601.0</v>
      </c>
      <c r="L105" s="32">
        <f t="shared" si="1"/>
        <v>-1.012658228</v>
      </c>
      <c r="M105" s="32">
        <f t="shared" si="2"/>
        <v>-1.262626263</v>
      </c>
      <c r="N105" s="32">
        <f t="shared" si="3"/>
        <v>-0.7614213198</v>
      </c>
    </row>
    <row r="106">
      <c r="A106" s="5" t="s">
        <v>156</v>
      </c>
      <c r="B106" s="49">
        <v>30.0</v>
      </c>
      <c r="C106" s="49">
        <v>3.0</v>
      </c>
      <c r="D106" s="52">
        <v>393.0</v>
      </c>
      <c r="E106" s="52">
        <v>1199868.0</v>
      </c>
      <c r="F106" s="52">
        <v>395.0</v>
      </c>
      <c r="G106" s="52">
        <v>1080214.0</v>
      </c>
      <c r="H106" s="53">
        <v>394.0</v>
      </c>
      <c r="I106" s="52">
        <v>1210000.0</v>
      </c>
      <c r="J106" s="40">
        <v>390.0</v>
      </c>
      <c r="K106" s="33">
        <v>273423.0</v>
      </c>
      <c r="L106" s="32">
        <f t="shared" si="1"/>
        <v>-0.7633587786</v>
      </c>
      <c r="M106" s="32">
        <f t="shared" si="2"/>
        <v>-1.265822785</v>
      </c>
      <c r="N106" s="32">
        <f t="shared" si="3"/>
        <v>-1.015228426</v>
      </c>
    </row>
    <row r="107">
      <c r="A107" s="5" t="s">
        <v>156</v>
      </c>
      <c r="B107" s="49">
        <v>30.0</v>
      </c>
      <c r="C107" s="49">
        <v>4.0</v>
      </c>
      <c r="D107" s="52">
        <v>394.0</v>
      </c>
      <c r="E107" s="52">
        <v>1199880.0</v>
      </c>
      <c r="F107" s="52">
        <v>396.0</v>
      </c>
      <c r="G107" s="52">
        <v>1199971.0</v>
      </c>
      <c r="H107" s="53">
        <v>394.0</v>
      </c>
      <c r="I107" s="52">
        <v>1210000.0</v>
      </c>
      <c r="J107" s="40">
        <v>390.0</v>
      </c>
      <c r="K107" s="33">
        <v>257572.0</v>
      </c>
      <c r="L107" s="32">
        <f t="shared" si="1"/>
        <v>-1.015228426</v>
      </c>
      <c r="M107" s="32">
        <f t="shared" si="2"/>
        <v>-1.515151515</v>
      </c>
      <c r="N107" s="32">
        <f t="shared" si="3"/>
        <v>-1.015228426</v>
      </c>
    </row>
    <row r="108">
      <c r="A108" s="5" t="s">
        <v>156</v>
      </c>
      <c r="B108" s="49">
        <v>30.0</v>
      </c>
      <c r="C108" s="49">
        <v>5.0</v>
      </c>
      <c r="D108" s="52">
        <v>394.0</v>
      </c>
      <c r="E108" s="52">
        <v>1200146.0</v>
      </c>
      <c r="F108" s="52">
        <v>396.0</v>
      </c>
      <c r="G108" s="52">
        <v>1200011.0</v>
      </c>
      <c r="H108" s="53">
        <v>394.0</v>
      </c>
      <c r="I108" s="52">
        <v>1210000.0</v>
      </c>
      <c r="J108" s="40">
        <v>390.0</v>
      </c>
      <c r="K108" s="33">
        <v>254953.0</v>
      </c>
      <c r="L108" s="32">
        <f t="shared" si="1"/>
        <v>-1.015228426</v>
      </c>
      <c r="M108" s="32">
        <f t="shared" si="2"/>
        <v>-1.515151515</v>
      </c>
      <c r="N108" s="32">
        <f t="shared" si="3"/>
        <v>-1.015228426</v>
      </c>
    </row>
    <row r="109">
      <c r="A109" s="5" t="s">
        <v>156</v>
      </c>
      <c r="B109" s="49">
        <v>30.0</v>
      </c>
      <c r="C109" s="49">
        <v>6.0</v>
      </c>
      <c r="D109" s="52">
        <v>393.0</v>
      </c>
      <c r="E109" s="52">
        <v>1200110.0</v>
      </c>
      <c r="F109" s="52">
        <v>396.0</v>
      </c>
      <c r="G109" s="52">
        <v>1080174.0</v>
      </c>
      <c r="H109" s="53">
        <v>394.0</v>
      </c>
      <c r="I109" s="52">
        <v>1210000.0</v>
      </c>
      <c r="J109" s="40">
        <v>391.0</v>
      </c>
      <c r="K109" s="33">
        <v>256737.0</v>
      </c>
      <c r="L109" s="32">
        <f t="shared" si="1"/>
        <v>-0.5089058524</v>
      </c>
      <c r="M109" s="32">
        <f t="shared" si="2"/>
        <v>-1.262626263</v>
      </c>
      <c r="N109" s="32">
        <f t="shared" si="3"/>
        <v>-0.7614213198</v>
      </c>
    </row>
    <row r="110">
      <c r="A110" s="5" t="s">
        <v>156</v>
      </c>
      <c r="B110" s="49">
        <v>30.0</v>
      </c>
      <c r="C110" s="49">
        <v>7.0</v>
      </c>
      <c r="D110" s="52">
        <v>393.0</v>
      </c>
      <c r="E110" s="52">
        <v>1200022.0</v>
      </c>
      <c r="F110" s="52">
        <v>395.0</v>
      </c>
      <c r="G110" s="52">
        <v>1199964.0</v>
      </c>
      <c r="H110" s="53">
        <v>394.0</v>
      </c>
      <c r="I110" s="52">
        <v>1210000.0</v>
      </c>
      <c r="J110" s="40">
        <v>391.0</v>
      </c>
      <c r="K110" s="33">
        <v>251529.0</v>
      </c>
      <c r="L110" s="32">
        <f t="shared" si="1"/>
        <v>-0.5089058524</v>
      </c>
      <c r="M110" s="32">
        <f t="shared" si="2"/>
        <v>-1.012658228</v>
      </c>
      <c r="N110" s="32">
        <f t="shared" si="3"/>
        <v>-0.7614213198</v>
      </c>
    </row>
    <row r="111">
      <c r="A111" s="5" t="s">
        <v>156</v>
      </c>
      <c r="B111" s="49">
        <v>30.0</v>
      </c>
      <c r="C111" s="49">
        <v>8.0</v>
      </c>
      <c r="D111" s="52">
        <v>395.0</v>
      </c>
      <c r="E111" s="52">
        <v>1199930.0</v>
      </c>
      <c r="F111" s="52">
        <v>396.0</v>
      </c>
      <c r="G111" s="52">
        <v>1080177.0</v>
      </c>
      <c r="H111" s="53">
        <v>394.0</v>
      </c>
      <c r="I111" s="52">
        <v>1210000.0</v>
      </c>
      <c r="J111" s="40">
        <v>391.0</v>
      </c>
      <c r="K111" s="33">
        <v>250784.0</v>
      </c>
      <c r="L111" s="32">
        <f t="shared" si="1"/>
        <v>-1.012658228</v>
      </c>
      <c r="M111" s="32">
        <f t="shared" si="2"/>
        <v>-1.262626263</v>
      </c>
      <c r="N111" s="32">
        <f t="shared" si="3"/>
        <v>-0.7614213198</v>
      </c>
    </row>
    <row r="112">
      <c r="A112" s="5" t="s">
        <v>156</v>
      </c>
      <c r="B112" s="49">
        <v>30.0</v>
      </c>
      <c r="C112" s="49">
        <v>9.0</v>
      </c>
      <c r="D112" s="52">
        <v>395.0</v>
      </c>
      <c r="E112" s="52">
        <v>1199888.0</v>
      </c>
      <c r="F112" s="52">
        <v>395.0</v>
      </c>
      <c r="G112" s="52">
        <v>1199991.0</v>
      </c>
      <c r="H112" s="53">
        <v>394.0</v>
      </c>
      <c r="I112" s="52">
        <v>1210000.0</v>
      </c>
      <c r="J112" s="40">
        <v>390.0</v>
      </c>
      <c r="K112" s="33">
        <v>253391.0</v>
      </c>
      <c r="L112" s="32">
        <f t="shared" si="1"/>
        <v>-1.265822785</v>
      </c>
      <c r="M112" s="32">
        <f t="shared" si="2"/>
        <v>-1.265822785</v>
      </c>
      <c r="N112" s="32">
        <f t="shared" si="3"/>
        <v>-1.015228426</v>
      </c>
    </row>
    <row r="113">
      <c r="A113" s="5" t="s">
        <v>156</v>
      </c>
      <c r="B113" s="49">
        <v>30.0</v>
      </c>
      <c r="C113" s="49">
        <v>10.0</v>
      </c>
      <c r="D113" s="52">
        <v>393.0</v>
      </c>
      <c r="E113" s="52">
        <v>1200204.0</v>
      </c>
      <c r="F113" s="52">
        <v>396.0</v>
      </c>
      <c r="G113" s="52">
        <v>1080233.0</v>
      </c>
      <c r="H113" s="53">
        <v>393.0</v>
      </c>
      <c r="I113" s="52">
        <v>1210000.0</v>
      </c>
      <c r="J113" s="40">
        <v>391.0</v>
      </c>
      <c r="K113" s="33">
        <v>261773.0</v>
      </c>
      <c r="L113" s="32">
        <f t="shared" si="1"/>
        <v>-0.5089058524</v>
      </c>
      <c r="M113" s="32">
        <f t="shared" si="2"/>
        <v>-1.262626263</v>
      </c>
      <c r="N113" s="32">
        <f t="shared" si="3"/>
        <v>-0.5089058524</v>
      </c>
    </row>
    <row r="114">
      <c r="A114" s="5" t="s">
        <v>156</v>
      </c>
      <c r="B114" s="49">
        <v>34.0</v>
      </c>
      <c r="C114" s="49">
        <v>1.0</v>
      </c>
      <c r="D114" s="52">
        <v>396.0</v>
      </c>
      <c r="E114" s="52">
        <v>1199859.0</v>
      </c>
      <c r="F114" s="52">
        <v>396.0</v>
      </c>
      <c r="G114" s="52">
        <v>1200040.0</v>
      </c>
      <c r="H114" s="53">
        <v>395.0</v>
      </c>
      <c r="I114" s="52">
        <v>1210000.0</v>
      </c>
      <c r="J114" s="40">
        <v>393.0</v>
      </c>
      <c r="K114" s="33">
        <v>274988.0</v>
      </c>
      <c r="L114" s="32">
        <f t="shared" si="1"/>
        <v>-0.7575757576</v>
      </c>
      <c r="M114" s="32">
        <f t="shared" si="2"/>
        <v>-0.7575757576</v>
      </c>
      <c r="N114" s="32">
        <f t="shared" si="3"/>
        <v>-0.5063291139</v>
      </c>
    </row>
    <row r="115">
      <c r="A115" s="5" t="s">
        <v>156</v>
      </c>
      <c r="B115" s="49">
        <v>34.0</v>
      </c>
      <c r="C115" s="49">
        <v>2.0</v>
      </c>
      <c r="D115" s="52">
        <v>396.0</v>
      </c>
      <c r="E115" s="52">
        <v>1199989.0</v>
      </c>
      <c r="F115" s="52">
        <v>397.0</v>
      </c>
      <c r="G115" s="52">
        <v>1200034.0</v>
      </c>
      <c r="H115" s="53">
        <v>395.0</v>
      </c>
      <c r="I115" s="52">
        <v>1210000.0</v>
      </c>
      <c r="J115" s="40">
        <v>393.0</v>
      </c>
      <c r="K115" s="33">
        <v>279438.0</v>
      </c>
      <c r="L115" s="32">
        <f t="shared" si="1"/>
        <v>-0.7575757576</v>
      </c>
      <c r="M115" s="32">
        <f t="shared" si="2"/>
        <v>-1.007556675</v>
      </c>
      <c r="N115" s="32">
        <f t="shared" si="3"/>
        <v>-0.5063291139</v>
      </c>
    </row>
    <row r="116">
      <c r="A116" s="5" t="s">
        <v>156</v>
      </c>
      <c r="B116" s="49">
        <v>34.0</v>
      </c>
      <c r="C116" s="49">
        <v>3.0</v>
      </c>
      <c r="D116" s="52">
        <v>396.0</v>
      </c>
      <c r="E116" s="52">
        <v>1200013.0</v>
      </c>
      <c r="F116" s="52">
        <v>396.0</v>
      </c>
      <c r="G116" s="52">
        <v>1199986.0</v>
      </c>
      <c r="H116" s="53">
        <v>395.0</v>
      </c>
      <c r="I116" s="52">
        <v>1210000.0</v>
      </c>
      <c r="J116" s="40">
        <v>394.0</v>
      </c>
      <c r="K116" s="33">
        <v>282065.0</v>
      </c>
      <c r="L116" s="32">
        <f t="shared" si="1"/>
        <v>-0.5050505051</v>
      </c>
      <c r="M116" s="32">
        <f t="shared" si="2"/>
        <v>-0.5050505051</v>
      </c>
      <c r="N116" s="32">
        <f t="shared" si="3"/>
        <v>-0.253164557</v>
      </c>
    </row>
    <row r="117">
      <c r="A117" s="5" t="s">
        <v>156</v>
      </c>
      <c r="B117" s="49">
        <v>34.0</v>
      </c>
      <c r="C117" s="49">
        <v>4.0</v>
      </c>
      <c r="D117" s="52">
        <v>395.0</v>
      </c>
      <c r="E117" s="52">
        <v>1200002.0</v>
      </c>
      <c r="F117" s="52">
        <v>397.0</v>
      </c>
      <c r="G117" s="52">
        <v>1200089.0</v>
      </c>
      <c r="H117" s="53">
        <v>395.0</v>
      </c>
      <c r="I117" s="52">
        <v>1210000.0</v>
      </c>
      <c r="J117" s="40">
        <v>393.0</v>
      </c>
      <c r="K117" s="33">
        <v>288854.0</v>
      </c>
      <c r="L117" s="32">
        <f t="shared" si="1"/>
        <v>-0.5063291139</v>
      </c>
      <c r="M117" s="32">
        <f t="shared" si="2"/>
        <v>-1.007556675</v>
      </c>
      <c r="N117" s="32">
        <f t="shared" si="3"/>
        <v>-0.5063291139</v>
      </c>
    </row>
    <row r="118">
      <c r="A118" s="5" t="s">
        <v>156</v>
      </c>
      <c r="B118" s="49">
        <v>34.0</v>
      </c>
      <c r="C118" s="49">
        <v>5.0</v>
      </c>
      <c r="D118" s="52">
        <v>396.0</v>
      </c>
      <c r="E118" s="52">
        <v>1200050.0</v>
      </c>
      <c r="F118" s="52">
        <v>396.0</v>
      </c>
      <c r="G118" s="52">
        <v>1080217.0</v>
      </c>
      <c r="H118" s="53">
        <v>395.0</v>
      </c>
      <c r="I118" s="52">
        <v>1210000.0</v>
      </c>
      <c r="J118" s="40">
        <v>393.0</v>
      </c>
      <c r="K118" s="33">
        <v>275401.0</v>
      </c>
      <c r="L118" s="32">
        <f t="shared" si="1"/>
        <v>-0.7575757576</v>
      </c>
      <c r="M118" s="32">
        <f t="shared" si="2"/>
        <v>-0.7575757576</v>
      </c>
      <c r="N118" s="32">
        <f t="shared" si="3"/>
        <v>-0.5063291139</v>
      </c>
    </row>
    <row r="119">
      <c r="A119" s="5" t="s">
        <v>156</v>
      </c>
      <c r="B119" s="49">
        <v>34.0</v>
      </c>
      <c r="C119" s="49">
        <v>6.0</v>
      </c>
      <c r="D119" s="52">
        <v>395.0</v>
      </c>
      <c r="E119" s="52">
        <v>1200030.0</v>
      </c>
      <c r="F119" s="52">
        <v>397.0</v>
      </c>
      <c r="G119" s="52">
        <v>1080176.0</v>
      </c>
      <c r="H119" s="53">
        <v>395.0</v>
      </c>
      <c r="I119" s="52">
        <v>1210000.0</v>
      </c>
      <c r="J119" s="40">
        <v>393.0</v>
      </c>
      <c r="K119" s="33">
        <v>284520.0</v>
      </c>
      <c r="L119" s="32">
        <f t="shared" si="1"/>
        <v>-0.5063291139</v>
      </c>
      <c r="M119" s="32">
        <f t="shared" si="2"/>
        <v>-1.007556675</v>
      </c>
      <c r="N119" s="32">
        <f t="shared" si="3"/>
        <v>-0.5063291139</v>
      </c>
    </row>
    <row r="120">
      <c r="A120" s="5" t="s">
        <v>156</v>
      </c>
      <c r="B120" s="49">
        <v>34.0</v>
      </c>
      <c r="C120" s="49">
        <v>7.0</v>
      </c>
      <c r="D120" s="52">
        <v>395.0</v>
      </c>
      <c r="E120" s="52">
        <v>1199976.0</v>
      </c>
      <c r="F120" s="52">
        <v>396.0</v>
      </c>
      <c r="G120" s="52">
        <v>1080186.0</v>
      </c>
      <c r="H120" s="53">
        <v>395.0</v>
      </c>
      <c r="I120" s="52">
        <v>1210000.0</v>
      </c>
      <c r="J120" s="40">
        <v>393.0</v>
      </c>
      <c r="K120" s="33">
        <v>277473.0</v>
      </c>
      <c r="L120" s="32">
        <f t="shared" si="1"/>
        <v>-0.5063291139</v>
      </c>
      <c r="M120" s="32">
        <f t="shared" si="2"/>
        <v>-0.7575757576</v>
      </c>
      <c r="N120" s="32">
        <f t="shared" si="3"/>
        <v>-0.5063291139</v>
      </c>
    </row>
    <row r="121">
      <c r="A121" s="5" t="s">
        <v>156</v>
      </c>
      <c r="B121" s="49">
        <v>34.0</v>
      </c>
      <c r="C121" s="49">
        <v>8.0</v>
      </c>
      <c r="D121" s="52">
        <v>397.0</v>
      </c>
      <c r="E121" s="52">
        <v>1200223.0</v>
      </c>
      <c r="F121" s="52">
        <v>396.0</v>
      </c>
      <c r="G121" s="52">
        <v>1200080.0</v>
      </c>
      <c r="H121" s="53">
        <v>395.0</v>
      </c>
      <c r="I121" s="52">
        <v>1210000.0</v>
      </c>
      <c r="J121" s="40">
        <v>393.0</v>
      </c>
      <c r="K121" s="33">
        <v>282734.0</v>
      </c>
      <c r="L121" s="32">
        <f t="shared" si="1"/>
        <v>-1.007556675</v>
      </c>
      <c r="M121" s="32">
        <f t="shared" si="2"/>
        <v>-0.7575757576</v>
      </c>
      <c r="N121" s="32">
        <f t="shared" si="3"/>
        <v>-0.5063291139</v>
      </c>
    </row>
    <row r="122">
      <c r="A122" s="5" t="s">
        <v>156</v>
      </c>
      <c r="B122" s="49">
        <v>34.0</v>
      </c>
      <c r="C122" s="49">
        <v>9.0</v>
      </c>
      <c r="D122" s="52">
        <v>395.0</v>
      </c>
      <c r="E122" s="52">
        <v>1199898.0</v>
      </c>
      <c r="F122" s="52">
        <v>397.0</v>
      </c>
      <c r="G122" s="52">
        <v>1200053.0</v>
      </c>
      <c r="H122" s="53">
        <v>395.0</v>
      </c>
      <c r="I122" s="52">
        <v>1210000.0</v>
      </c>
      <c r="J122" s="40">
        <v>393.0</v>
      </c>
      <c r="K122" s="33">
        <v>275574.0</v>
      </c>
      <c r="L122" s="32">
        <f t="shared" si="1"/>
        <v>-0.5063291139</v>
      </c>
      <c r="M122" s="32">
        <f t="shared" si="2"/>
        <v>-1.007556675</v>
      </c>
      <c r="N122" s="32">
        <f t="shared" si="3"/>
        <v>-0.5063291139</v>
      </c>
    </row>
    <row r="123">
      <c r="A123" s="5" t="s">
        <v>156</v>
      </c>
      <c r="B123" s="49">
        <v>34.0</v>
      </c>
      <c r="C123" s="49">
        <v>10.0</v>
      </c>
      <c r="D123" s="52">
        <v>396.0</v>
      </c>
      <c r="E123" s="52">
        <v>1199869.0</v>
      </c>
      <c r="F123" s="52">
        <v>396.0</v>
      </c>
      <c r="G123" s="52">
        <v>1199996.0</v>
      </c>
      <c r="H123" s="53">
        <v>395.0</v>
      </c>
      <c r="I123" s="52">
        <v>1210000.0</v>
      </c>
      <c r="J123" s="40">
        <v>393.0</v>
      </c>
      <c r="K123" s="33">
        <v>310060.0</v>
      </c>
      <c r="L123" s="32">
        <f t="shared" si="1"/>
        <v>-0.7575757576</v>
      </c>
      <c r="M123" s="32">
        <f t="shared" si="2"/>
        <v>-0.7575757576</v>
      </c>
      <c r="N123" s="32">
        <f t="shared" si="3"/>
        <v>-0.5063291139</v>
      </c>
    </row>
    <row r="124">
      <c r="A124" s="5" t="s">
        <v>157</v>
      </c>
      <c r="B124" s="49">
        <v>2.0</v>
      </c>
      <c r="C124" s="49">
        <v>1.0</v>
      </c>
      <c r="D124" s="52">
        <v>153.0</v>
      </c>
      <c r="E124" s="52">
        <v>1201018.0</v>
      </c>
      <c r="F124" s="52">
        <v>182.0</v>
      </c>
      <c r="G124" s="52">
        <v>1200379.0</v>
      </c>
      <c r="H124" s="53">
        <v>206.0</v>
      </c>
      <c r="I124" s="52">
        <v>1210000.0</v>
      </c>
      <c r="J124" s="40">
        <v>96.0</v>
      </c>
      <c r="K124" s="33">
        <v>83314.0</v>
      </c>
      <c r="L124" s="32">
        <f t="shared" si="1"/>
        <v>-37.25490196</v>
      </c>
      <c r="M124" s="32">
        <f t="shared" si="2"/>
        <v>-47.25274725</v>
      </c>
      <c r="N124" s="32">
        <f t="shared" si="3"/>
        <v>-53.39805825</v>
      </c>
    </row>
    <row r="125">
      <c r="A125" s="5" t="s">
        <v>157</v>
      </c>
      <c r="B125" s="49">
        <v>2.0</v>
      </c>
      <c r="C125" s="49">
        <v>2.0</v>
      </c>
      <c r="D125" s="52">
        <v>168.0</v>
      </c>
      <c r="E125" s="52">
        <v>1200773.0</v>
      </c>
      <c r="F125" s="52">
        <v>192.0</v>
      </c>
      <c r="G125" s="52">
        <v>1200435.0</v>
      </c>
      <c r="H125" s="53">
        <v>214.0</v>
      </c>
      <c r="I125" s="52">
        <v>1210000.0</v>
      </c>
      <c r="J125" s="40">
        <v>105.0</v>
      </c>
      <c r="K125" s="33">
        <v>87588.0</v>
      </c>
      <c r="L125" s="32">
        <f t="shared" si="1"/>
        <v>-37.5</v>
      </c>
      <c r="M125" s="32">
        <f t="shared" si="2"/>
        <v>-45.3125</v>
      </c>
      <c r="N125" s="32">
        <f t="shared" si="3"/>
        <v>-50.93457944</v>
      </c>
    </row>
    <row r="126">
      <c r="A126" s="5" t="s">
        <v>157</v>
      </c>
      <c r="B126" s="49">
        <v>2.0</v>
      </c>
      <c r="C126" s="49">
        <v>3.0</v>
      </c>
      <c r="D126" s="52">
        <v>165.0</v>
      </c>
      <c r="E126" s="52">
        <v>1200193.0</v>
      </c>
      <c r="F126" s="52">
        <v>192.0</v>
      </c>
      <c r="G126" s="52">
        <v>1200340.0</v>
      </c>
      <c r="H126" s="53">
        <v>219.0</v>
      </c>
      <c r="I126" s="52">
        <v>1210000.0</v>
      </c>
      <c r="J126" s="40">
        <v>101.0</v>
      </c>
      <c r="K126" s="33">
        <v>87529.0</v>
      </c>
      <c r="L126" s="32">
        <f t="shared" si="1"/>
        <v>-38.78787879</v>
      </c>
      <c r="M126" s="32">
        <f t="shared" si="2"/>
        <v>-47.39583333</v>
      </c>
      <c r="N126" s="32">
        <f t="shared" si="3"/>
        <v>-53.88127854</v>
      </c>
    </row>
    <row r="127">
      <c r="A127" s="5" t="s">
        <v>157</v>
      </c>
      <c r="B127" s="49">
        <v>2.0</v>
      </c>
      <c r="C127" s="49">
        <v>4.0</v>
      </c>
      <c r="D127" s="52">
        <v>162.0</v>
      </c>
      <c r="E127" s="52">
        <v>1200921.0</v>
      </c>
      <c r="F127" s="52">
        <v>192.0</v>
      </c>
      <c r="G127" s="52">
        <v>1080463.0</v>
      </c>
      <c r="H127" s="53">
        <v>219.0</v>
      </c>
      <c r="I127" s="52">
        <v>1210000.0</v>
      </c>
      <c r="J127" s="40">
        <v>106.0</v>
      </c>
      <c r="K127" s="33">
        <v>87151.0</v>
      </c>
      <c r="L127" s="32">
        <f t="shared" si="1"/>
        <v>-34.56790123</v>
      </c>
      <c r="M127" s="32">
        <f t="shared" si="2"/>
        <v>-44.79166667</v>
      </c>
      <c r="N127" s="32">
        <f t="shared" si="3"/>
        <v>-51.59817352</v>
      </c>
    </row>
    <row r="128">
      <c r="A128" s="5" t="s">
        <v>157</v>
      </c>
      <c r="B128" s="49">
        <v>2.0</v>
      </c>
      <c r="C128" s="49">
        <v>5.0</v>
      </c>
      <c r="D128" s="52">
        <v>171.0</v>
      </c>
      <c r="E128" s="52">
        <v>1200278.0</v>
      </c>
      <c r="F128" s="52">
        <v>199.0</v>
      </c>
      <c r="G128" s="52">
        <v>1200380.0</v>
      </c>
      <c r="H128" s="53">
        <v>226.0</v>
      </c>
      <c r="I128" s="52">
        <v>1210000.0</v>
      </c>
      <c r="J128" s="40">
        <v>112.0</v>
      </c>
      <c r="K128" s="33">
        <v>86441.0</v>
      </c>
      <c r="L128" s="32">
        <f t="shared" si="1"/>
        <v>-34.50292398</v>
      </c>
      <c r="M128" s="32">
        <f t="shared" si="2"/>
        <v>-43.71859296</v>
      </c>
      <c r="N128" s="32">
        <f t="shared" si="3"/>
        <v>-50.44247788</v>
      </c>
    </row>
    <row r="129">
      <c r="A129" s="5" t="s">
        <v>157</v>
      </c>
      <c r="B129" s="49">
        <v>2.0</v>
      </c>
      <c r="C129" s="49">
        <v>6.0</v>
      </c>
      <c r="D129" s="52">
        <v>155.0</v>
      </c>
      <c r="E129" s="52">
        <v>1201243.0</v>
      </c>
      <c r="F129" s="52">
        <v>192.0</v>
      </c>
      <c r="G129" s="52">
        <v>1080507.0</v>
      </c>
      <c r="H129" s="53">
        <v>217.0</v>
      </c>
      <c r="I129" s="52">
        <v>1210000.0</v>
      </c>
      <c r="J129" s="40">
        <v>108.0</v>
      </c>
      <c r="K129" s="33">
        <v>85604.0</v>
      </c>
      <c r="L129" s="32">
        <f t="shared" si="1"/>
        <v>-30.32258065</v>
      </c>
      <c r="M129" s="32">
        <f t="shared" si="2"/>
        <v>-43.75</v>
      </c>
      <c r="N129" s="32">
        <f t="shared" si="3"/>
        <v>-50.23041475</v>
      </c>
    </row>
    <row r="130">
      <c r="A130" s="42" t="s">
        <v>157</v>
      </c>
      <c r="B130" s="42">
        <v>2.0</v>
      </c>
      <c r="C130" s="42">
        <v>7.0</v>
      </c>
      <c r="D130" s="52">
        <v>158.0</v>
      </c>
      <c r="E130" s="52">
        <v>1200432.0</v>
      </c>
      <c r="F130" s="52">
        <v>193.0</v>
      </c>
      <c r="G130" s="52">
        <v>1080409.0</v>
      </c>
      <c r="H130" s="53">
        <v>219.0</v>
      </c>
      <c r="I130" s="52">
        <v>1210000.0</v>
      </c>
      <c r="J130" s="40">
        <v>104.0</v>
      </c>
      <c r="K130" s="42">
        <v>85837.0</v>
      </c>
      <c r="L130" s="32">
        <f t="shared" si="1"/>
        <v>-34.17721519</v>
      </c>
      <c r="M130" s="32">
        <f t="shared" si="2"/>
        <v>-46.11398964</v>
      </c>
      <c r="N130" s="32">
        <f t="shared" si="3"/>
        <v>-52.51141553</v>
      </c>
    </row>
    <row r="131">
      <c r="A131" s="42" t="s">
        <v>157</v>
      </c>
      <c r="B131" s="42">
        <v>2.0</v>
      </c>
      <c r="C131" s="42">
        <v>8.0</v>
      </c>
      <c r="D131" s="52">
        <v>167.0</v>
      </c>
      <c r="E131" s="52">
        <v>1200011.0</v>
      </c>
      <c r="F131" s="52">
        <v>202.0</v>
      </c>
      <c r="G131" s="52">
        <v>1080512.0</v>
      </c>
      <c r="H131" s="53">
        <v>229.0</v>
      </c>
      <c r="I131" s="52">
        <v>1210000.0</v>
      </c>
      <c r="J131" s="40">
        <v>114.0</v>
      </c>
      <c r="K131" s="42">
        <v>100468.0</v>
      </c>
      <c r="L131" s="32">
        <f t="shared" si="1"/>
        <v>-31.73652695</v>
      </c>
      <c r="M131" s="32">
        <f t="shared" si="2"/>
        <v>-43.56435644</v>
      </c>
      <c r="N131" s="32">
        <f t="shared" si="3"/>
        <v>-50.21834061</v>
      </c>
    </row>
    <row r="132">
      <c r="A132" s="42" t="s">
        <v>157</v>
      </c>
      <c r="B132" s="42">
        <v>2.0</v>
      </c>
      <c r="C132" s="42">
        <v>9.0</v>
      </c>
      <c r="D132" s="52">
        <v>160.0</v>
      </c>
      <c r="E132" s="52">
        <v>1200212.0</v>
      </c>
      <c r="F132" s="52">
        <v>191.0</v>
      </c>
      <c r="G132" s="52">
        <v>1200374.0</v>
      </c>
      <c r="H132" s="53">
        <v>214.0</v>
      </c>
      <c r="I132" s="52">
        <v>1210000.0</v>
      </c>
      <c r="J132" s="40">
        <v>101.0</v>
      </c>
      <c r="K132" s="42">
        <v>87037.0</v>
      </c>
      <c r="L132" s="32">
        <f t="shared" si="1"/>
        <v>-36.875</v>
      </c>
      <c r="M132" s="32">
        <f t="shared" si="2"/>
        <v>-47.12041885</v>
      </c>
      <c r="N132" s="32">
        <f t="shared" si="3"/>
        <v>-52.80373832</v>
      </c>
    </row>
    <row r="133">
      <c r="A133" s="42" t="s">
        <v>157</v>
      </c>
      <c r="B133" s="42">
        <v>2.0</v>
      </c>
      <c r="C133" s="42">
        <v>10.0</v>
      </c>
      <c r="D133" s="52">
        <v>168.0</v>
      </c>
      <c r="E133" s="52">
        <v>1200178.0</v>
      </c>
      <c r="F133" s="52">
        <v>192.0</v>
      </c>
      <c r="G133" s="52">
        <v>1080431.0</v>
      </c>
      <c r="H133" s="53">
        <v>219.0</v>
      </c>
      <c r="I133" s="52">
        <v>1210000.0</v>
      </c>
      <c r="J133" s="40">
        <v>107.0</v>
      </c>
      <c r="K133" s="42">
        <v>86929.0</v>
      </c>
      <c r="L133" s="32">
        <f t="shared" si="1"/>
        <v>-36.30952381</v>
      </c>
      <c r="M133" s="32">
        <f t="shared" si="2"/>
        <v>-44.27083333</v>
      </c>
      <c r="N133" s="32">
        <f t="shared" si="3"/>
        <v>-51.14155251</v>
      </c>
    </row>
    <row r="134">
      <c r="A134" s="42" t="s">
        <v>157</v>
      </c>
      <c r="B134" s="42">
        <v>4.0</v>
      </c>
      <c r="C134" s="42">
        <v>1.0</v>
      </c>
      <c r="D134" s="52">
        <v>293.0</v>
      </c>
      <c r="E134" s="52">
        <v>1199900.0</v>
      </c>
      <c r="F134" s="52">
        <v>343.0</v>
      </c>
      <c r="G134" s="52">
        <v>1200447.0</v>
      </c>
      <c r="H134" s="53">
        <v>342.0</v>
      </c>
      <c r="I134" s="52">
        <v>1210000.0</v>
      </c>
      <c r="J134" s="40">
        <v>229.0</v>
      </c>
      <c r="K134" s="42">
        <v>105607.0</v>
      </c>
      <c r="L134" s="32">
        <f t="shared" si="1"/>
        <v>-21.84300341</v>
      </c>
      <c r="M134" s="32">
        <f t="shared" si="2"/>
        <v>-33.2361516</v>
      </c>
      <c r="N134" s="32">
        <f t="shared" si="3"/>
        <v>-33.04093567</v>
      </c>
    </row>
    <row r="135">
      <c r="A135" s="42" t="s">
        <v>157</v>
      </c>
      <c r="B135" s="42">
        <v>4.0</v>
      </c>
      <c r="C135" s="42">
        <v>2.0</v>
      </c>
      <c r="D135" s="52">
        <v>303.0</v>
      </c>
      <c r="E135" s="52">
        <v>1200069.0</v>
      </c>
      <c r="F135" s="52">
        <v>328.0</v>
      </c>
      <c r="G135" s="52">
        <v>1080509.0</v>
      </c>
      <c r="H135" s="53">
        <v>349.0</v>
      </c>
      <c r="I135" s="52">
        <v>1210000.0</v>
      </c>
      <c r="J135" s="40">
        <v>233.0</v>
      </c>
      <c r="K135" s="42">
        <v>106211.0</v>
      </c>
      <c r="L135" s="32">
        <f t="shared" si="1"/>
        <v>-23.10231023</v>
      </c>
      <c r="M135" s="32">
        <f t="shared" si="2"/>
        <v>-28.96341463</v>
      </c>
      <c r="N135" s="32">
        <f t="shared" si="3"/>
        <v>-33.23782235</v>
      </c>
    </row>
    <row r="136">
      <c r="A136" s="42" t="s">
        <v>157</v>
      </c>
      <c r="B136" s="42">
        <v>4.0</v>
      </c>
      <c r="C136" s="42">
        <v>3.0</v>
      </c>
      <c r="D136" s="54">
        <v>314.0</v>
      </c>
      <c r="E136" s="54">
        <v>1200530.0</v>
      </c>
      <c r="F136" s="54">
        <v>347.0</v>
      </c>
      <c r="G136" s="54">
        <v>1200278.0</v>
      </c>
      <c r="H136" s="55">
        <v>355.0</v>
      </c>
      <c r="I136" s="54">
        <v>1210000.0</v>
      </c>
      <c r="J136" s="42">
        <v>237.0</v>
      </c>
      <c r="K136" s="42">
        <v>106707.0</v>
      </c>
      <c r="L136" s="32">
        <f t="shared" si="1"/>
        <v>-24.52229299</v>
      </c>
      <c r="M136" s="32">
        <f t="shared" si="2"/>
        <v>-31.70028818</v>
      </c>
      <c r="N136" s="32">
        <f t="shared" si="3"/>
        <v>-33.23943662</v>
      </c>
    </row>
    <row r="137">
      <c r="A137" s="42" t="s">
        <v>157</v>
      </c>
      <c r="B137" s="42">
        <v>4.0</v>
      </c>
      <c r="C137" s="42">
        <v>4.0</v>
      </c>
      <c r="D137" s="54">
        <v>310.0</v>
      </c>
      <c r="E137" s="54">
        <v>1199908.0</v>
      </c>
      <c r="F137" s="54">
        <v>336.0</v>
      </c>
      <c r="G137" s="54">
        <v>1200477.0</v>
      </c>
      <c r="H137" s="55">
        <v>351.0</v>
      </c>
      <c r="I137" s="54">
        <v>1210000.0</v>
      </c>
      <c r="J137" s="42">
        <v>236.0</v>
      </c>
      <c r="K137" s="42">
        <v>109545.0</v>
      </c>
      <c r="L137" s="32">
        <f t="shared" si="1"/>
        <v>-23.87096774</v>
      </c>
      <c r="M137" s="32">
        <f t="shared" si="2"/>
        <v>-29.76190476</v>
      </c>
      <c r="N137" s="32">
        <f t="shared" si="3"/>
        <v>-32.76353276</v>
      </c>
    </row>
    <row r="138">
      <c r="A138" s="42" t="s">
        <v>157</v>
      </c>
      <c r="B138" s="42">
        <v>4.0</v>
      </c>
      <c r="C138" s="42">
        <v>5.0</v>
      </c>
      <c r="D138" s="54">
        <v>320.0</v>
      </c>
      <c r="E138" s="54">
        <v>1200524.0</v>
      </c>
      <c r="F138" s="54">
        <v>356.0</v>
      </c>
      <c r="G138" s="54">
        <v>1080501.0</v>
      </c>
      <c r="H138" s="55">
        <v>368.0</v>
      </c>
      <c r="I138" s="54">
        <v>1210000.0</v>
      </c>
      <c r="J138" s="42">
        <v>254.0</v>
      </c>
      <c r="K138" s="42">
        <v>109731.0</v>
      </c>
      <c r="L138" s="32">
        <f t="shared" si="1"/>
        <v>-20.625</v>
      </c>
      <c r="M138" s="32">
        <f t="shared" si="2"/>
        <v>-28.65168539</v>
      </c>
      <c r="N138" s="32">
        <f t="shared" si="3"/>
        <v>-30.97826087</v>
      </c>
    </row>
    <row r="139">
      <c r="A139" s="42" t="s">
        <v>157</v>
      </c>
      <c r="B139" s="42">
        <v>4.0</v>
      </c>
      <c r="C139" s="42">
        <v>6.0</v>
      </c>
      <c r="D139" s="54">
        <v>325.0</v>
      </c>
      <c r="E139" s="54">
        <v>1199812.0</v>
      </c>
      <c r="F139" s="54">
        <v>344.0</v>
      </c>
      <c r="G139" s="54">
        <v>1200395.0</v>
      </c>
      <c r="H139" s="55">
        <v>365.0</v>
      </c>
      <c r="I139" s="54">
        <v>1210000.0</v>
      </c>
      <c r="J139" s="42">
        <v>251.0</v>
      </c>
      <c r="K139" s="42">
        <v>107683.0</v>
      </c>
      <c r="L139" s="32">
        <f t="shared" si="1"/>
        <v>-22.76923077</v>
      </c>
      <c r="M139" s="32">
        <f t="shared" si="2"/>
        <v>-27.03488372</v>
      </c>
      <c r="N139" s="32">
        <f t="shared" si="3"/>
        <v>-31.23287671</v>
      </c>
    </row>
    <row r="140">
      <c r="A140" s="42" t="s">
        <v>157</v>
      </c>
      <c r="B140" s="42">
        <v>4.0</v>
      </c>
      <c r="C140" s="42">
        <v>7.0</v>
      </c>
      <c r="D140" s="54">
        <v>315.0</v>
      </c>
      <c r="E140" s="54">
        <v>1200043.0</v>
      </c>
      <c r="F140" s="54">
        <v>330.0</v>
      </c>
      <c r="G140" s="54">
        <v>1080532.0</v>
      </c>
      <c r="H140" s="55">
        <v>356.0</v>
      </c>
      <c r="I140" s="54">
        <v>1210000.0</v>
      </c>
      <c r="J140" s="42">
        <v>244.0</v>
      </c>
      <c r="K140" s="42">
        <v>109475.0</v>
      </c>
      <c r="L140" s="32">
        <f t="shared" si="1"/>
        <v>-22.53968254</v>
      </c>
      <c r="M140" s="32">
        <f t="shared" si="2"/>
        <v>-26.06060606</v>
      </c>
      <c r="N140" s="32">
        <f t="shared" si="3"/>
        <v>-31.46067416</v>
      </c>
    </row>
    <row r="141">
      <c r="A141" s="42" t="s">
        <v>157</v>
      </c>
      <c r="B141" s="42">
        <v>4.0</v>
      </c>
      <c r="C141" s="42">
        <v>8.0</v>
      </c>
      <c r="D141" s="54">
        <v>313.0</v>
      </c>
      <c r="E141" s="54">
        <v>1200369.0</v>
      </c>
      <c r="F141" s="54">
        <v>346.0</v>
      </c>
      <c r="G141" s="54">
        <v>1200470.0</v>
      </c>
      <c r="H141" s="55">
        <v>366.0</v>
      </c>
      <c r="I141" s="54">
        <v>1210000.0</v>
      </c>
      <c r="J141" s="42">
        <v>250.0</v>
      </c>
      <c r="K141" s="42">
        <v>107317.0</v>
      </c>
      <c r="L141" s="32">
        <f t="shared" si="1"/>
        <v>-20.12779553</v>
      </c>
      <c r="M141" s="32">
        <f t="shared" si="2"/>
        <v>-27.74566474</v>
      </c>
      <c r="N141" s="32">
        <f t="shared" si="3"/>
        <v>-31.69398907</v>
      </c>
    </row>
    <row r="142">
      <c r="A142" s="42" t="s">
        <v>157</v>
      </c>
      <c r="B142" s="42">
        <v>4.0</v>
      </c>
      <c r="C142" s="42">
        <v>9.0</v>
      </c>
      <c r="D142" s="54">
        <v>319.0</v>
      </c>
      <c r="E142" s="54">
        <v>1201024.0</v>
      </c>
      <c r="F142" s="54">
        <v>342.0</v>
      </c>
      <c r="G142" s="54">
        <v>1080440.0</v>
      </c>
      <c r="H142" s="55">
        <v>362.0</v>
      </c>
      <c r="I142" s="54">
        <v>1210000.0</v>
      </c>
      <c r="J142" s="42">
        <v>243.0</v>
      </c>
      <c r="K142" s="42">
        <v>104682.0</v>
      </c>
      <c r="L142" s="32">
        <f t="shared" si="1"/>
        <v>-23.82445141</v>
      </c>
      <c r="M142" s="32">
        <f t="shared" si="2"/>
        <v>-28.94736842</v>
      </c>
      <c r="N142" s="32">
        <f t="shared" si="3"/>
        <v>-32.87292818</v>
      </c>
    </row>
    <row r="143">
      <c r="A143" s="42" t="s">
        <v>157</v>
      </c>
      <c r="B143" s="42">
        <v>4.0</v>
      </c>
      <c r="C143" s="42">
        <v>10.0</v>
      </c>
      <c r="D143" s="54">
        <v>310.0</v>
      </c>
      <c r="E143" s="54">
        <v>1200321.0</v>
      </c>
      <c r="F143" s="54">
        <v>348.0</v>
      </c>
      <c r="G143" s="54">
        <v>1200284.0</v>
      </c>
      <c r="H143" s="55">
        <v>367.0</v>
      </c>
      <c r="I143" s="54">
        <v>1210000.0</v>
      </c>
      <c r="J143" s="42">
        <v>244.0</v>
      </c>
      <c r="K143" s="42">
        <v>105965.0</v>
      </c>
      <c r="L143" s="32">
        <f t="shared" si="1"/>
        <v>-21.29032258</v>
      </c>
      <c r="M143" s="32">
        <f t="shared" si="2"/>
        <v>-29.88505747</v>
      </c>
      <c r="N143" s="32">
        <f t="shared" si="3"/>
        <v>-33.51498638</v>
      </c>
    </row>
    <row r="144">
      <c r="A144" s="42" t="s">
        <v>157</v>
      </c>
      <c r="B144" s="42">
        <v>6.0</v>
      </c>
      <c r="C144" s="42">
        <v>1.0</v>
      </c>
      <c r="D144" s="54">
        <v>419.0</v>
      </c>
      <c r="E144" s="54">
        <v>1200192.0</v>
      </c>
      <c r="F144" s="54">
        <v>451.0</v>
      </c>
      <c r="G144" s="54">
        <v>1200339.0</v>
      </c>
      <c r="H144" s="55">
        <v>460.0</v>
      </c>
      <c r="I144" s="54">
        <v>1210000.0</v>
      </c>
      <c r="J144" s="42">
        <v>358.0</v>
      </c>
      <c r="K144" s="42">
        <v>133682.0</v>
      </c>
      <c r="L144" s="32">
        <f t="shared" si="1"/>
        <v>-14.55847255</v>
      </c>
      <c r="M144" s="32">
        <f t="shared" si="2"/>
        <v>-20.62084257</v>
      </c>
      <c r="N144" s="32">
        <f t="shared" si="3"/>
        <v>-22.17391304</v>
      </c>
    </row>
    <row r="145">
      <c r="A145" s="42" t="s">
        <v>157</v>
      </c>
      <c r="B145" s="42">
        <v>6.0</v>
      </c>
      <c r="C145" s="42">
        <v>2.0</v>
      </c>
      <c r="D145" s="54">
        <v>418.0</v>
      </c>
      <c r="E145" s="54">
        <v>1201208.0</v>
      </c>
      <c r="F145" s="54">
        <v>448.0</v>
      </c>
      <c r="G145" s="54">
        <v>1080524.0</v>
      </c>
      <c r="H145" s="55">
        <v>453.0</v>
      </c>
      <c r="I145" s="54">
        <v>1210000.0</v>
      </c>
      <c r="J145" s="42">
        <v>352.0</v>
      </c>
      <c r="K145" s="42">
        <v>130285.0</v>
      </c>
      <c r="L145" s="32">
        <f t="shared" si="1"/>
        <v>-15.78947368</v>
      </c>
      <c r="M145" s="32">
        <f t="shared" si="2"/>
        <v>-21.42857143</v>
      </c>
      <c r="N145" s="32">
        <f t="shared" si="3"/>
        <v>-22.29580574</v>
      </c>
    </row>
    <row r="146">
      <c r="A146" s="42" t="s">
        <v>157</v>
      </c>
      <c r="B146" s="42">
        <v>6.0</v>
      </c>
      <c r="C146" s="42">
        <v>3.0</v>
      </c>
      <c r="D146" s="54">
        <v>432.0</v>
      </c>
      <c r="E146" s="54">
        <v>1199904.0</v>
      </c>
      <c r="F146" s="54">
        <v>458.0</v>
      </c>
      <c r="G146" s="54">
        <v>1200499.0</v>
      </c>
      <c r="H146" s="55">
        <v>461.0</v>
      </c>
      <c r="I146" s="54">
        <v>1210000.0</v>
      </c>
      <c r="J146" s="42">
        <v>359.0</v>
      </c>
      <c r="K146" s="42">
        <v>132853.0</v>
      </c>
      <c r="L146" s="32">
        <f t="shared" si="1"/>
        <v>-16.89814815</v>
      </c>
      <c r="M146" s="32">
        <f t="shared" si="2"/>
        <v>-21.61572052</v>
      </c>
      <c r="N146" s="32">
        <f t="shared" si="3"/>
        <v>-22.12581345</v>
      </c>
    </row>
    <row r="147">
      <c r="A147" s="42" t="s">
        <v>157</v>
      </c>
      <c r="B147" s="42">
        <v>6.0</v>
      </c>
      <c r="C147" s="42">
        <v>4.0</v>
      </c>
      <c r="D147" s="54">
        <v>401.0</v>
      </c>
      <c r="E147" s="54">
        <v>1200900.0</v>
      </c>
      <c r="F147" s="54">
        <v>444.0</v>
      </c>
      <c r="G147" s="54">
        <v>1200316.0</v>
      </c>
      <c r="H147" s="55">
        <v>438.0</v>
      </c>
      <c r="I147" s="54">
        <v>1210000.0</v>
      </c>
      <c r="J147" s="42">
        <v>347.0</v>
      </c>
      <c r="K147" s="42">
        <v>125404.0</v>
      </c>
      <c r="L147" s="32">
        <f t="shared" si="1"/>
        <v>-13.46633416</v>
      </c>
      <c r="M147" s="32">
        <f t="shared" si="2"/>
        <v>-21.84684685</v>
      </c>
      <c r="N147" s="32">
        <f t="shared" si="3"/>
        <v>-20.77625571</v>
      </c>
    </row>
    <row r="148">
      <c r="A148" s="42" t="s">
        <v>157</v>
      </c>
      <c r="B148" s="42">
        <v>6.0</v>
      </c>
      <c r="C148" s="42">
        <v>5.0</v>
      </c>
      <c r="D148" s="54">
        <v>433.0</v>
      </c>
      <c r="E148" s="54">
        <v>1200169.0</v>
      </c>
      <c r="F148" s="54">
        <v>447.0</v>
      </c>
      <c r="G148" s="54">
        <v>1200530.0</v>
      </c>
      <c r="H148" s="55">
        <v>457.0</v>
      </c>
      <c r="I148" s="54">
        <v>1210000.0</v>
      </c>
      <c r="J148" s="42">
        <v>369.0</v>
      </c>
      <c r="K148" s="42">
        <v>128570.0</v>
      </c>
      <c r="L148" s="32">
        <f t="shared" si="1"/>
        <v>-14.78060046</v>
      </c>
      <c r="M148" s="32">
        <f t="shared" si="2"/>
        <v>-17.44966443</v>
      </c>
      <c r="N148" s="32">
        <f t="shared" si="3"/>
        <v>-19.25601751</v>
      </c>
    </row>
    <row r="149">
      <c r="A149" s="42" t="s">
        <v>157</v>
      </c>
      <c r="B149" s="42">
        <v>6.0</v>
      </c>
      <c r="C149" s="42">
        <v>6.0</v>
      </c>
      <c r="D149" s="54">
        <v>429.0</v>
      </c>
      <c r="E149" s="54">
        <v>1200349.0</v>
      </c>
      <c r="F149" s="54">
        <v>454.0</v>
      </c>
      <c r="G149" s="54">
        <v>1200359.0</v>
      </c>
      <c r="H149" s="55">
        <v>465.0</v>
      </c>
      <c r="I149" s="54">
        <v>1210000.0</v>
      </c>
      <c r="J149" s="42">
        <v>363.0</v>
      </c>
      <c r="K149" s="42">
        <v>132422.0</v>
      </c>
      <c r="L149" s="32">
        <f t="shared" si="1"/>
        <v>-15.38461538</v>
      </c>
      <c r="M149" s="32">
        <f t="shared" si="2"/>
        <v>-20.04405286</v>
      </c>
      <c r="N149" s="32">
        <f t="shared" si="3"/>
        <v>-21.93548387</v>
      </c>
    </row>
    <row r="150">
      <c r="A150" s="42" t="s">
        <v>157</v>
      </c>
      <c r="B150" s="42">
        <v>6.0</v>
      </c>
      <c r="C150" s="42">
        <v>7.0</v>
      </c>
      <c r="D150" s="54">
        <v>431.0</v>
      </c>
      <c r="E150" s="54">
        <v>1200320.0</v>
      </c>
      <c r="F150" s="54">
        <v>451.0</v>
      </c>
      <c r="G150" s="54">
        <v>1080497.0</v>
      </c>
      <c r="H150" s="55">
        <v>466.0</v>
      </c>
      <c r="I150" s="54">
        <v>1210000.0</v>
      </c>
      <c r="J150" s="42">
        <v>363.0</v>
      </c>
      <c r="K150" s="42">
        <v>126886.0</v>
      </c>
      <c r="L150" s="32">
        <f t="shared" si="1"/>
        <v>-15.77726218</v>
      </c>
      <c r="M150" s="32">
        <f t="shared" si="2"/>
        <v>-19.51219512</v>
      </c>
      <c r="N150" s="32">
        <f t="shared" si="3"/>
        <v>-22.10300429</v>
      </c>
    </row>
    <row r="151">
      <c r="A151" s="42" t="s">
        <v>157</v>
      </c>
      <c r="B151" s="42">
        <v>6.0</v>
      </c>
      <c r="C151" s="42">
        <v>8.0</v>
      </c>
      <c r="D151" s="54">
        <v>438.0</v>
      </c>
      <c r="E151" s="54">
        <v>1200695.0</v>
      </c>
      <c r="F151" s="54">
        <v>461.0</v>
      </c>
      <c r="G151" s="54">
        <v>1080636.0</v>
      </c>
      <c r="H151" s="55">
        <v>461.0</v>
      </c>
      <c r="I151" s="54">
        <v>1210000.0</v>
      </c>
      <c r="J151" s="42">
        <v>367.0</v>
      </c>
      <c r="K151" s="42">
        <v>135671.0</v>
      </c>
      <c r="L151" s="32">
        <f t="shared" si="1"/>
        <v>-16.21004566</v>
      </c>
      <c r="M151" s="32">
        <f t="shared" si="2"/>
        <v>-20.39045553</v>
      </c>
      <c r="N151" s="32">
        <f t="shared" si="3"/>
        <v>-20.39045553</v>
      </c>
    </row>
    <row r="152">
      <c r="A152" s="42" t="s">
        <v>157</v>
      </c>
      <c r="B152" s="42">
        <v>6.0</v>
      </c>
      <c r="C152" s="42">
        <v>9.0</v>
      </c>
      <c r="D152" s="54">
        <v>421.0</v>
      </c>
      <c r="E152" s="54">
        <v>1199916.0</v>
      </c>
      <c r="F152" s="54">
        <v>461.0</v>
      </c>
      <c r="G152" s="54">
        <v>1200478.0</v>
      </c>
      <c r="H152" s="55">
        <v>459.0</v>
      </c>
      <c r="I152" s="54">
        <v>1210000.0</v>
      </c>
      <c r="J152" s="42">
        <v>364.0</v>
      </c>
      <c r="K152" s="42">
        <v>133530.0</v>
      </c>
      <c r="L152" s="32">
        <f t="shared" si="1"/>
        <v>-13.5391924</v>
      </c>
      <c r="M152" s="32">
        <f t="shared" si="2"/>
        <v>-21.04121475</v>
      </c>
      <c r="N152" s="32">
        <f t="shared" si="3"/>
        <v>-20.69716776</v>
      </c>
    </row>
    <row r="153">
      <c r="A153" s="42" t="s">
        <v>157</v>
      </c>
      <c r="B153" s="42">
        <v>6.0</v>
      </c>
      <c r="C153" s="42">
        <v>10.0</v>
      </c>
      <c r="D153" s="54">
        <v>427.0</v>
      </c>
      <c r="E153" s="54">
        <v>1200249.0</v>
      </c>
      <c r="F153" s="54">
        <v>449.0</v>
      </c>
      <c r="G153" s="54">
        <v>1200355.0</v>
      </c>
      <c r="H153" s="55">
        <v>454.0</v>
      </c>
      <c r="I153" s="54">
        <v>1210000.0</v>
      </c>
      <c r="J153" s="42">
        <v>364.0</v>
      </c>
      <c r="K153" s="42">
        <v>128136.0</v>
      </c>
      <c r="L153" s="32">
        <f t="shared" si="1"/>
        <v>-14.75409836</v>
      </c>
      <c r="M153" s="32">
        <f t="shared" si="2"/>
        <v>-18.93095768</v>
      </c>
      <c r="N153" s="32">
        <f t="shared" si="3"/>
        <v>-19.82378855</v>
      </c>
    </row>
    <row r="154">
      <c r="A154" s="42" t="s">
        <v>157</v>
      </c>
      <c r="B154" s="42">
        <v>8.0</v>
      </c>
      <c r="C154" s="42">
        <v>1.0</v>
      </c>
      <c r="D154" s="54">
        <v>482.0</v>
      </c>
      <c r="E154" s="54">
        <v>1201037.0</v>
      </c>
      <c r="F154" s="54">
        <v>519.0</v>
      </c>
      <c r="G154" s="54">
        <v>1200381.0</v>
      </c>
      <c r="H154" s="55">
        <v>513.0</v>
      </c>
      <c r="I154" s="54">
        <v>1210000.0</v>
      </c>
      <c r="J154" s="42">
        <v>435.0</v>
      </c>
      <c r="K154" s="42">
        <v>154434.0</v>
      </c>
      <c r="L154" s="32">
        <f t="shared" si="1"/>
        <v>-9.751037344</v>
      </c>
      <c r="M154" s="32">
        <f t="shared" si="2"/>
        <v>-16.1849711</v>
      </c>
      <c r="N154" s="32">
        <f t="shared" si="3"/>
        <v>-15.20467836</v>
      </c>
    </row>
    <row r="155">
      <c r="A155" s="42" t="s">
        <v>157</v>
      </c>
      <c r="B155" s="42">
        <v>8.0</v>
      </c>
      <c r="C155" s="42">
        <v>2.0</v>
      </c>
      <c r="D155" s="54">
        <v>491.0</v>
      </c>
      <c r="E155" s="54">
        <v>1200892.0</v>
      </c>
      <c r="F155" s="54">
        <v>521.0</v>
      </c>
      <c r="G155" s="54">
        <v>1200487.0</v>
      </c>
      <c r="H155" s="55">
        <v>511.0</v>
      </c>
      <c r="I155" s="54">
        <v>1210000.0</v>
      </c>
      <c r="J155" s="42">
        <v>436.0</v>
      </c>
      <c r="K155" s="42">
        <v>168598.0</v>
      </c>
      <c r="L155" s="32">
        <f t="shared" si="1"/>
        <v>-11.20162933</v>
      </c>
      <c r="M155" s="32">
        <f t="shared" si="2"/>
        <v>-16.31477927</v>
      </c>
      <c r="N155" s="32">
        <f t="shared" si="3"/>
        <v>-14.67710372</v>
      </c>
    </row>
    <row r="156">
      <c r="A156" s="42" t="s">
        <v>157</v>
      </c>
      <c r="B156" s="42">
        <v>8.0</v>
      </c>
      <c r="C156" s="42">
        <v>3.0</v>
      </c>
      <c r="D156" s="54">
        <v>493.0</v>
      </c>
      <c r="E156" s="54">
        <v>1199916.0</v>
      </c>
      <c r="F156" s="54">
        <v>522.0</v>
      </c>
      <c r="G156" s="54">
        <v>1200500.0</v>
      </c>
      <c r="H156" s="55">
        <v>519.0</v>
      </c>
      <c r="I156" s="54">
        <v>1210000.0</v>
      </c>
      <c r="J156" s="42">
        <v>445.0</v>
      </c>
      <c r="K156" s="42">
        <v>165324.0</v>
      </c>
      <c r="L156" s="32">
        <f t="shared" si="1"/>
        <v>-9.736308316</v>
      </c>
      <c r="M156" s="32">
        <f t="shared" si="2"/>
        <v>-14.75095785</v>
      </c>
      <c r="N156" s="32">
        <f t="shared" si="3"/>
        <v>-14.25818882</v>
      </c>
    </row>
    <row r="157">
      <c r="A157" s="42" t="s">
        <v>157</v>
      </c>
      <c r="B157" s="42">
        <v>8.0</v>
      </c>
      <c r="C157" s="42">
        <v>4.0</v>
      </c>
      <c r="D157" s="54">
        <v>486.0</v>
      </c>
      <c r="E157" s="54">
        <v>1200529.0</v>
      </c>
      <c r="F157" s="54">
        <v>508.0</v>
      </c>
      <c r="G157" s="54">
        <v>1200524.0</v>
      </c>
      <c r="H157" s="55">
        <v>510.0</v>
      </c>
      <c r="I157" s="54">
        <v>1210000.0</v>
      </c>
      <c r="J157" s="42">
        <v>431.0</v>
      </c>
      <c r="K157" s="42">
        <v>151117.0</v>
      </c>
      <c r="L157" s="32">
        <f t="shared" si="1"/>
        <v>-11.31687243</v>
      </c>
      <c r="M157" s="32">
        <f t="shared" si="2"/>
        <v>-15.15748031</v>
      </c>
      <c r="N157" s="32">
        <f t="shared" si="3"/>
        <v>-15.49019608</v>
      </c>
    </row>
    <row r="158">
      <c r="A158" s="42" t="s">
        <v>157</v>
      </c>
      <c r="B158" s="42">
        <v>8.0</v>
      </c>
      <c r="C158" s="42">
        <v>5.0</v>
      </c>
      <c r="D158" s="54">
        <v>488.0</v>
      </c>
      <c r="E158" s="54">
        <v>1200803.0</v>
      </c>
      <c r="F158" s="54">
        <v>509.0</v>
      </c>
      <c r="G158" s="54">
        <v>1200226.0</v>
      </c>
      <c r="H158" s="55">
        <v>511.0</v>
      </c>
      <c r="I158" s="54">
        <v>1210000.0</v>
      </c>
      <c r="J158" s="42">
        <v>434.0</v>
      </c>
      <c r="K158" s="42">
        <v>152755.0</v>
      </c>
      <c r="L158" s="32">
        <f t="shared" si="1"/>
        <v>-11.06557377</v>
      </c>
      <c r="M158" s="32">
        <f t="shared" si="2"/>
        <v>-14.73477407</v>
      </c>
      <c r="N158" s="32">
        <f t="shared" si="3"/>
        <v>-15.06849315</v>
      </c>
    </row>
    <row r="159">
      <c r="A159" s="42" t="s">
        <v>157</v>
      </c>
      <c r="B159" s="42">
        <v>8.0</v>
      </c>
      <c r="C159" s="42">
        <v>6.0</v>
      </c>
      <c r="D159" s="54">
        <v>496.0</v>
      </c>
      <c r="E159" s="54">
        <v>1200991.0</v>
      </c>
      <c r="F159" s="54">
        <v>519.0</v>
      </c>
      <c r="G159" s="54">
        <v>2638340.0</v>
      </c>
      <c r="H159" s="55">
        <v>515.0</v>
      </c>
      <c r="I159" s="54">
        <v>1210000.0</v>
      </c>
      <c r="J159" s="42">
        <v>440.0</v>
      </c>
      <c r="K159" s="42">
        <v>153128.0</v>
      </c>
      <c r="L159" s="32">
        <f t="shared" si="1"/>
        <v>-11.29032258</v>
      </c>
      <c r="M159" s="32">
        <f t="shared" si="2"/>
        <v>-15.22157996</v>
      </c>
      <c r="N159" s="32">
        <f t="shared" si="3"/>
        <v>-14.5631068</v>
      </c>
    </row>
    <row r="160">
      <c r="A160" s="42" t="s">
        <v>157</v>
      </c>
      <c r="B160" s="42">
        <v>8.0</v>
      </c>
      <c r="C160" s="42">
        <v>7.0</v>
      </c>
      <c r="D160" s="54">
        <v>486.0</v>
      </c>
      <c r="E160" s="54">
        <v>1200887.0</v>
      </c>
      <c r="F160" s="54">
        <v>503.0</v>
      </c>
      <c r="G160" s="54">
        <v>1200463.0</v>
      </c>
      <c r="H160" s="55">
        <v>510.0</v>
      </c>
      <c r="I160" s="54">
        <v>1210000.0</v>
      </c>
      <c r="J160" s="42">
        <v>432.0</v>
      </c>
      <c r="K160" s="42">
        <v>154189.0</v>
      </c>
      <c r="L160" s="32">
        <f t="shared" si="1"/>
        <v>-11.11111111</v>
      </c>
      <c r="M160" s="32">
        <f t="shared" si="2"/>
        <v>-14.11530815</v>
      </c>
      <c r="N160" s="32">
        <f t="shared" si="3"/>
        <v>-15.29411765</v>
      </c>
    </row>
    <row r="161">
      <c r="A161" s="42" t="s">
        <v>157</v>
      </c>
      <c r="B161" s="42">
        <v>8.0</v>
      </c>
      <c r="C161" s="42">
        <v>8.0</v>
      </c>
      <c r="D161" s="54">
        <v>498.0</v>
      </c>
      <c r="E161" s="54">
        <v>1201010.0</v>
      </c>
      <c r="F161" s="54">
        <v>521.0</v>
      </c>
      <c r="G161" s="54">
        <v>1080539.0</v>
      </c>
      <c r="H161" s="55">
        <v>514.0</v>
      </c>
      <c r="I161" s="54">
        <v>1210000.0</v>
      </c>
      <c r="J161" s="42">
        <v>443.0</v>
      </c>
      <c r="K161" s="42">
        <v>153555.0</v>
      </c>
      <c r="L161" s="32">
        <f t="shared" si="1"/>
        <v>-11.04417671</v>
      </c>
      <c r="M161" s="32">
        <f t="shared" si="2"/>
        <v>-14.97120921</v>
      </c>
      <c r="N161" s="32">
        <f t="shared" si="3"/>
        <v>-13.81322957</v>
      </c>
    </row>
    <row r="162">
      <c r="A162" s="42" t="s">
        <v>157</v>
      </c>
      <c r="B162" s="42">
        <v>8.0</v>
      </c>
      <c r="C162" s="42">
        <v>9.0</v>
      </c>
      <c r="D162" s="54">
        <v>495.0</v>
      </c>
      <c r="E162" s="54">
        <v>1200323.0</v>
      </c>
      <c r="F162" s="54">
        <v>520.0</v>
      </c>
      <c r="G162" s="54">
        <v>1080679.0</v>
      </c>
      <c r="H162" s="55">
        <v>515.0</v>
      </c>
      <c r="I162" s="54">
        <v>1210000.0</v>
      </c>
      <c r="J162" s="42">
        <v>436.0</v>
      </c>
      <c r="K162" s="42">
        <v>157404.0</v>
      </c>
      <c r="L162" s="32">
        <f t="shared" si="1"/>
        <v>-11.91919192</v>
      </c>
      <c r="M162" s="32">
        <f t="shared" si="2"/>
        <v>-16.15384615</v>
      </c>
      <c r="N162" s="32">
        <f t="shared" si="3"/>
        <v>-15.33980583</v>
      </c>
    </row>
    <row r="163">
      <c r="A163" s="42" t="s">
        <v>157</v>
      </c>
      <c r="B163" s="42">
        <v>8.0</v>
      </c>
      <c r="C163" s="42">
        <v>10.0</v>
      </c>
      <c r="D163" s="54">
        <v>497.0</v>
      </c>
      <c r="E163" s="54">
        <v>1199911.0</v>
      </c>
      <c r="F163" s="54">
        <v>512.0</v>
      </c>
      <c r="G163" s="54">
        <v>2495686.0</v>
      </c>
      <c r="H163" s="55">
        <v>516.0</v>
      </c>
      <c r="I163" s="54">
        <v>1210000.0</v>
      </c>
      <c r="J163" s="42">
        <v>439.0</v>
      </c>
      <c r="K163" s="42">
        <v>154672.0</v>
      </c>
      <c r="L163" s="32">
        <f t="shared" si="1"/>
        <v>-11.67002012</v>
      </c>
      <c r="M163" s="32">
        <f t="shared" si="2"/>
        <v>-14.2578125</v>
      </c>
      <c r="N163" s="32">
        <f t="shared" si="3"/>
        <v>-14.92248062</v>
      </c>
    </row>
    <row r="164">
      <c r="A164" s="42" t="s">
        <v>157</v>
      </c>
      <c r="B164" s="42">
        <v>10.0</v>
      </c>
      <c r="C164" s="42">
        <v>1.0</v>
      </c>
      <c r="D164" s="54">
        <v>525.0</v>
      </c>
      <c r="E164" s="54">
        <v>1199950.0</v>
      </c>
      <c r="F164" s="54">
        <v>552.0</v>
      </c>
      <c r="G164" s="54">
        <v>1080447.0</v>
      </c>
      <c r="H164" s="55">
        <v>542.0</v>
      </c>
      <c r="I164" s="54">
        <v>1210000.0</v>
      </c>
      <c r="J164" s="42">
        <v>484.0</v>
      </c>
      <c r="K164" s="42">
        <v>175670.0</v>
      </c>
      <c r="L164" s="32">
        <f t="shared" si="1"/>
        <v>-7.80952381</v>
      </c>
      <c r="M164" s="32">
        <f t="shared" si="2"/>
        <v>-12.31884058</v>
      </c>
      <c r="N164" s="32">
        <f t="shared" si="3"/>
        <v>-10.70110701</v>
      </c>
    </row>
    <row r="165">
      <c r="A165" s="42" t="s">
        <v>157</v>
      </c>
      <c r="B165" s="42">
        <v>10.0</v>
      </c>
      <c r="C165" s="42">
        <v>2.0</v>
      </c>
      <c r="D165" s="54">
        <v>523.0</v>
      </c>
      <c r="E165" s="54">
        <v>1200457.0</v>
      </c>
      <c r="F165" s="54">
        <v>552.0</v>
      </c>
      <c r="G165" s="54">
        <v>1200432.0</v>
      </c>
      <c r="H165" s="55">
        <v>541.0</v>
      </c>
      <c r="I165" s="54">
        <v>1210000.0</v>
      </c>
      <c r="J165" s="42">
        <v>481.0</v>
      </c>
      <c r="K165" s="42">
        <v>174863.0</v>
      </c>
      <c r="L165" s="32">
        <f t="shared" si="1"/>
        <v>-8.030592734</v>
      </c>
      <c r="M165" s="32">
        <f t="shared" si="2"/>
        <v>-12.86231884</v>
      </c>
      <c r="N165" s="32">
        <f t="shared" si="3"/>
        <v>-11.09057301</v>
      </c>
    </row>
    <row r="166">
      <c r="A166" s="42" t="s">
        <v>157</v>
      </c>
      <c r="B166" s="42">
        <v>10.0</v>
      </c>
      <c r="C166" s="42">
        <v>3.0</v>
      </c>
      <c r="D166" s="54">
        <v>536.0</v>
      </c>
      <c r="E166" s="54">
        <v>1200695.0</v>
      </c>
      <c r="F166" s="54">
        <v>554.0</v>
      </c>
      <c r="G166" s="54">
        <v>1080525.0</v>
      </c>
      <c r="H166" s="55">
        <v>545.0</v>
      </c>
      <c r="I166" s="54">
        <v>1210000.0</v>
      </c>
      <c r="J166" s="42">
        <v>489.0</v>
      </c>
      <c r="K166" s="42">
        <v>175910.0</v>
      </c>
      <c r="L166" s="32">
        <f t="shared" si="1"/>
        <v>-8.768656716</v>
      </c>
      <c r="M166" s="32">
        <f t="shared" si="2"/>
        <v>-11.73285199</v>
      </c>
      <c r="N166" s="32">
        <f t="shared" si="3"/>
        <v>-10.27522936</v>
      </c>
    </row>
    <row r="167">
      <c r="A167" s="42" t="s">
        <v>157</v>
      </c>
      <c r="B167" s="42">
        <v>10.0</v>
      </c>
      <c r="C167" s="42">
        <v>4.0</v>
      </c>
      <c r="D167" s="54">
        <v>522.0</v>
      </c>
      <c r="E167" s="54">
        <v>1200157.0</v>
      </c>
      <c r="F167" s="54">
        <v>544.0</v>
      </c>
      <c r="G167" s="54">
        <v>1200310.0</v>
      </c>
      <c r="H167" s="55">
        <v>540.0</v>
      </c>
      <c r="I167" s="54">
        <v>1210000.0</v>
      </c>
      <c r="J167" s="42">
        <v>480.0</v>
      </c>
      <c r="K167" s="42">
        <v>173356.0</v>
      </c>
      <c r="L167" s="32">
        <f t="shared" si="1"/>
        <v>-8.045977011</v>
      </c>
      <c r="M167" s="32">
        <f t="shared" si="2"/>
        <v>-11.76470588</v>
      </c>
      <c r="N167" s="32">
        <f t="shared" si="3"/>
        <v>-11.11111111</v>
      </c>
    </row>
    <row r="168">
      <c r="A168" s="42" t="s">
        <v>157</v>
      </c>
      <c r="B168" s="42">
        <v>10.0</v>
      </c>
      <c r="C168" s="42">
        <v>5.0</v>
      </c>
      <c r="D168" s="54">
        <v>527.0</v>
      </c>
      <c r="E168" s="54">
        <v>1200053.0</v>
      </c>
      <c r="F168" s="54">
        <v>543.0</v>
      </c>
      <c r="G168" s="54">
        <v>1200329.0</v>
      </c>
      <c r="H168" s="55">
        <v>539.0</v>
      </c>
      <c r="I168" s="54">
        <v>1210000.0</v>
      </c>
      <c r="J168" s="42">
        <v>483.0</v>
      </c>
      <c r="K168" s="42">
        <v>172585.0</v>
      </c>
      <c r="L168" s="32">
        <f t="shared" si="1"/>
        <v>-8.34914611</v>
      </c>
      <c r="M168" s="32">
        <f t="shared" si="2"/>
        <v>-11.04972376</v>
      </c>
      <c r="N168" s="32">
        <f t="shared" si="3"/>
        <v>-10.38961039</v>
      </c>
    </row>
    <row r="169">
      <c r="A169" s="42" t="s">
        <v>157</v>
      </c>
      <c r="B169" s="42">
        <v>10.0</v>
      </c>
      <c r="C169" s="42">
        <v>6.0</v>
      </c>
      <c r="D169" s="54">
        <v>523.0</v>
      </c>
      <c r="E169" s="54">
        <v>1200342.0</v>
      </c>
      <c r="F169" s="54">
        <v>554.0</v>
      </c>
      <c r="G169" s="54">
        <v>1200432.0</v>
      </c>
      <c r="H169" s="55">
        <v>542.0</v>
      </c>
      <c r="I169" s="54">
        <v>1210000.0</v>
      </c>
      <c r="J169" s="42">
        <v>488.0</v>
      </c>
      <c r="K169" s="42">
        <v>173321.0</v>
      </c>
      <c r="L169" s="32">
        <f t="shared" si="1"/>
        <v>-6.692160612</v>
      </c>
      <c r="M169" s="32">
        <f t="shared" si="2"/>
        <v>-11.9133574</v>
      </c>
      <c r="N169" s="32">
        <f t="shared" si="3"/>
        <v>-9.963099631</v>
      </c>
    </row>
    <row r="170">
      <c r="A170" s="42" t="s">
        <v>157</v>
      </c>
      <c r="B170" s="42">
        <v>10.0</v>
      </c>
      <c r="C170" s="42">
        <v>7.0</v>
      </c>
      <c r="D170" s="54">
        <v>531.0</v>
      </c>
      <c r="E170" s="54">
        <v>1199864.0</v>
      </c>
      <c r="F170" s="54">
        <v>545.0</v>
      </c>
      <c r="G170" s="54">
        <v>1080580.0</v>
      </c>
      <c r="H170" s="55">
        <v>539.0</v>
      </c>
      <c r="I170" s="54">
        <v>1210000.0</v>
      </c>
      <c r="J170" s="42">
        <v>479.0</v>
      </c>
      <c r="K170" s="42">
        <v>171036.0</v>
      </c>
      <c r="L170" s="32">
        <f t="shared" si="1"/>
        <v>-9.792843691</v>
      </c>
      <c r="M170" s="32">
        <f t="shared" si="2"/>
        <v>-12.11009174</v>
      </c>
      <c r="N170" s="32">
        <f t="shared" si="3"/>
        <v>-11.13172542</v>
      </c>
    </row>
    <row r="171">
      <c r="A171" s="42" t="s">
        <v>157</v>
      </c>
      <c r="B171" s="42">
        <v>10.0</v>
      </c>
      <c r="C171" s="42">
        <v>8.0</v>
      </c>
      <c r="D171" s="54">
        <v>527.0</v>
      </c>
      <c r="E171" s="54">
        <v>1200475.0</v>
      </c>
      <c r="F171" s="54">
        <v>552.0</v>
      </c>
      <c r="G171" s="54">
        <v>1200393.0</v>
      </c>
      <c r="H171" s="55">
        <v>542.0</v>
      </c>
      <c r="I171" s="54">
        <v>1210000.0</v>
      </c>
      <c r="J171" s="42">
        <v>487.0</v>
      </c>
      <c r="K171" s="42">
        <v>172014.0</v>
      </c>
      <c r="L171" s="32">
        <f t="shared" si="1"/>
        <v>-7.590132827</v>
      </c>
      <c r="M171" s="32">
        <f t="shared" si="2"/>
        <v>-11.77536232</v>
      </c>
      <c r="N171" s="32">
        <f t="shared" si="3"/>
        <v>-10.14760148</v>
      </c>
    </row>
    <row r="172">
      <c r="A172" s="42" t="s">
        <v>157</v>
      </c>
      <c r="B172" s="42">
        <v>10.0</v>
      </c>
      <c r="C172" s="42">
        <v>9.0</v>
      </c>
      <c r="D172" s="54">
        <v>523.0</v>
      </c>
      <c r="E172" s="54">
        <v>1200860.0</v>
      </c>
      <c r="F172" s="54">
        <v>548.0</v>
      </c>
      <c r="G172" s="54">
        <v>1200522.0</v>
      </c>
      <c r="H172" s="55">
        <v>540.0</v>
      </c>
      <c r="I172" s="54">
        <v>1210000.0</v>
      </c>
      <c r="J172" s="42">
        <v>483.0</v>
      </c>
      <c r="K172" s="42">
        <v>179275.0</v>
      </c>
      <c r="L172" s="32">
        <f t="shared" si="1"/>
        <v>-7.648183556</v>
      </c>
      <c r="M172" s="32">
        <f t="shared" si="2"/>
        <v>-11.86131387</v>
      </c>
      <c r="N172" s="32">
        <f t="shared" si="3"/>
        <v>-10.55555556</v>
      </c>
    </row>
    <row r="173">
      <c r="A173" s="42" t="s">
        <v>157</v>
      </c>
      <c r="B173" s="42">
        <v>10.0</v>
      </c>
      <c r="C173" s="42">
        <v>10.0</v>
      </c>
      <c r="D173" s="54">
        <v>522.0</v>
      </c>
      <c r="E173" s="54">
        <v>1200339.0</v>
      </c>
      <c r="F173" s="54">
        <v>544.0</v>
      </c>
      <c r="G173" s="54">
        <v>1080387.0</v>
      </c>
      <c r="H173" s="55">
        <v>544.0</v>
      </c>
      <c r="I173" s="54">
        <v>1210000.0</v>
      </c>
      <c r="J173" s="42">
        <v>487.0</v>
      </c>
      <c r="K173" s="42">
        <v>176963.0</v>
      </c>
      <c r="L173" s="32">
        <f t="shared" si="1"/>
        <v>-6.704980843</v>
      </c>
      <c r="M173" s="32">
        <f t="shared" si="2"/>
        <v>-10.47794118</v>
      </c>
      <c r="N173" s="32">
        <f t="shared" si="3"/>
        <v>-10.47794118</v>
      </c>
    </row>
    <row r="174">
      <c r="A174" s="42" t="s">
        <v>157</v>
      </c>
      <c r="B174" s="42">
        <v>14.0</v>
      </c>
      <c r="C174" s="42">
        <v>1.0</v>
      </c>
      <c r="D174" s="54">
        <v>559.0</v>
      </c>
      <c r="E174" s="54">
        <v>1200266.0</v>
      </c>
      <c r="F174" s="54">
        <v>581.0</v>
      </c>
      <c r="G174" s="54">
        <v>1200478.0</v>
      </c>
      <c r="H174" s="55">
        <v>567.0</v>
      </c>
      <c r="I174" s="54">
        <v>1210000.0</v>
      </c>
      <c r="J174" s="42">
        <v>532.0</v>
      </c>
      <c r="K174" s="42">
        <v>216444.0</v>
      </c>
      <c r="L174" s="32">
        <f t="shared" si="1"/>
        <v>-4.830053667</v>
      </c>
      <c r="M174" s="32">
        <f t="shared" si="2"/>
        <v>-8.43373494</v>
      </c>
      <c r="N174" s="32">
        <f t="shared" si="3"/>
        <v>-6.172839506</v>
      </c>
    </row>
    <row r="175">
      <c r="A175" s="42" t="s">
        <v>157</v>
      </c>
      <c r="B175" s="42">
        <v>14.0</v>
      </c>
      <c r="C175" s="42">
        <v>2.0</v>
      </c>
      <c r="D175" s="54">
        <v>551.0</v>
      </c>
      <c r="E175" s="54">
        <v>1201027.0</v>
      </c>
      <c r="F175" s="54">
        <v>580.0</v>
      </c>
      <c r="G175" s="54">
        <v>1080564.0</v>
      </c>
      <c r="H175" s="55">
        <v>566.0</v>
      </c>
      <c r="I175" s="54">
        <v>1210000.0</v>
      </c>
      <c r="J175" s="42">
        <v>530.0</v>
      </c>
      <c r="K175" s="42">
        <v>222829.0</v>
      </c>
      <c r="L175" s="32">
        <f t="shared" si="1"/>
        <v>-3.811252269</v>
      </c>
      <c r="M175" s="32">
        <f t="shared" si="2"/>
        <v>-8.620689655</v>
      </c>
      <c r="N175" s="32">
        <f t="shared" si="3"/>
        <v>-6.360424028</v>
      </c>
    </row>
    <row r="176">
      <c r="A176" s="42" t="s">
        <v>157</v>
      </c>
      <c r="B176" s="42">
        <v>14.0</v>
      </c>
      <c r="C176" s="42">
        <v>3.0</v>
      </c>
      <c r="D176" s="54">
        <v>561.0</v>
      </c>
      <c r="E176" s="54">
        <v>1200164.0</v>
      </c>
      <c r="F176" s="54">
        <v>579.0</v>
      </c>
      <c r="G176" s="54">
        <v>1200316.0</v>
      </c>
      <c r="H176" s="55">
        <v>566.0</v>
      </c>
      <c r="I176" s="54">
        <v>1210000.0</v>
      </c>
      <c r="J176" s="42">
        <v>531.0</v>
      </c>
      <c r="K176" s="42">
        <v>213115.0</v>
      </c>
      <c r="L176" s="32">
        <f t="shared" si="1"/>
        <v>-5.347593583</v>
      </c>
      <c r="M176" s="32">
        <f t="shared" si="2"/>
        <v>-8.29015544</v>
      </c>
      <c r="N176" s="32">
        <f t="shared" si="3"/>
        <v>-6.183745583</v>
      </c>
    </row>
    <row r="177">
      <c r="A177" s="42" t="s">
        <v>157</v>
      </c>
      <c r="B177" s="42">
        <v>14.0</v>
      </c>
      <c r="C177" s="42">
        <v>4.0</v>
      </c>
      <c r="D177" s="54">
        <v>559.0</v>
      </c>
      <c r="E177" s="54">
        <v>1199871.0</v>
      </c>
      <c r="F177" s="54">
        <v>576.0</v>
      </c>
      <c r="G177" s="54">
        <v>1080640.0</v>
      </c>
      <c r="H177" s="55">
        <v>566.0</v>
      </c>
      <c r="I177" s="54">
        <v>1210000.0</v>
      </c>
      <c r="J177" s="42">
        <v>533.0</v>
      </c>
      <c r="K177" s="42">
        <v>220500.0</v>
      </c>
      <c r="L177" s="32">
        <f t="shared" si="1"/>
        <v>-4.651162791</v>
      </c>
      <c r="M177" s="32">
        <f t="shared" si="2"/>
        <v>-7.465277778</v>
      </c>
      <c r="N177" s="32">
        <f t="shared" si="3"/>
        <v>-5.830388693</v>
      </c>
    </row>
    <row r="178">
      <c r="A178" s="42" t="s">
        <v>157</v>
      </c>
      <c r="B178" s="42">
        <v>14.0</v>
      </c>
      <c r="C178" s="42">
        <v>5.0</v>
      </c>
      <c r="D178" s="54">
        <v>555.0</v>
      </c>
      <c r="E178" s="54">
        <v>1200493.0</v>
      </c>
      <c r="F178" s="54">
        <v>578.0</v>
      </c>
      <c r="G178" s="54">
        <v>1080425.0</v>
      </c>
      <c r="H178" s="55">
        <v>566.0</v>
      </c>
      <c r="I178" s="54">
        <v>1210000.0</v>
      </c>
      <c r="J178" s="42">
        <v>533.0</v>
      </c>
      <c r="K178" s="42">
        <v>222052.0</v>
      </c>
      <c r="L178" s="32">
        <f t="shared" si="1"/>
        <v>-3.963963964</v>
      </c>
      <c r="M178" s="32">
        <f t="shared" si="2"/>
        <v>-7.785467128</v>
      </c>
      <c r="N178" s="32">
        <f t="shared" si="3"/>
        <v>-5.830388693</v>
      </c>
    </row>
    <row r="179">
      <c r="A179" s="42" t="s">
        <v>157</v>
      </c>
      <c r="B179" s="42">
        <v>14.0</v>
      </c>
      <c r="C179" s="42">
        <v>6.0</v>
      </c>
      <c r="D179" s="54">
        <v>558.0</v>
      </c>
      <c r="E179" s="54">
        <v>1200799.0</v>
      </c>
      <c r="F179" s="54">
        <v>580.0</v>
      </c>
      <c r="G179" s="54">
        <v>1200314.0</v>
      </c>
      <c r="H179" s="55">
        <v>566.0</v>
      </c>
      <c r="I179" s="54">
        <v>1210000.0</v>
      </c>
      <c r="J179" s="42">
        <v>534.0</v>
      </c>
      <c r="K179" s="42">
        <v>221766.0</v>
      </c>
      <c r="L179" s="32">
        <f t="shared" si="1"/>
        <v>-4.301075269</v>
      </c>
      <c r="M179" s="32">
        <f t="shared" si="2"/>
        <v>-7.931034483</v>
      </c>
      <c r="N179" s="32">
        <f t="shared" si="3"/>
        <v>-5.653710247</v>
      </c>
    </row>
    <row r="180">
      <c r="A180" s="42" t="s">
        <v>157</v>
      </c>
      <c r="B180" s="42">
        <v>14.0</v>
      </c>
      <c r="C180" s="42">
        <v>7.0</v>
      </c>
      <c r="D180" s="54">
        <v>557.0</v>
      </c>
      <c r="E180" s="54">
        <v>1200360.0</v>
      </c>
      <c r="F180" s="54">
        <v>578.0</v>
      </c>
      <c r="G180" s="54">
        <v>1200503.0</v>
      </c>
      <c r="H180" s="55">
        <v>567.0</v>
      </c>
      <c r="I180" s="54">
        <v>1210000.0</v>
      </c>
      <c r="J180" s="42">
        <v>534.0</v>
      </c>
      <c r="K180" s="42">
        <v>219323.0</v>
      </c>
      <c r="L180" s="32">
        <f t="shared" si="1"/>
        <v>-4.129263914</v>
      </c>
      <c r="M180" s="32">
        <f t="shared" si="2"/>
        <v>-7.612456747</v>
      </c>
      <c r="N180" s="32">
        <f t="shared" si="3"/>
        <v>-5.82010582</v>
      </c>
    </row>
    <row r="181">
      <c r="A181" s="42" t="s">
        <v>157</v>
      </c>
      <c r="B181" s="42">
        <v>14.0</v>
      </c>
      <c r="C181" s="42">
        <v>8.0</v>
      </c>
      <c r="D181" s="54">
        <v>561.0</v>
      </c>
      <c r="E181" s="54">
        <v>1200541.0</v>
      </c>
      <c r="F181" s="54">
        <v>580.0</v>
      </c>
      <c r="G181" s="54">
        <v>1200544.0</v>
      </c>
      <c r="H181" s="55">
        <v>566.0</v>
      </c>
      <c r="I181" s="54">
        <v>1210000.0</v>
      </c>
      <c r="J181" s="42">
        <v>533.0</v>
      </c>
      <c r="K181" s="42">
        <v>224513.0</v>
      </c>
      <c r="L181" s="32">
        <f t="shared" si="1"/>
        <v>-4.991087344</v>
      </c>
      <c r="M181" s="32">
        <f t="shared" si="2"/>
        <v>-8.103448276</v>
      </c>
      <c r="N181" s="32">
        <f t="shared" si="3"/>
        <v>-5.830388693</v>
      </c>
    </row>
    <row r="182">
      <c r="A182" s="42" t="s">
        <v>157</v>
      </c>
      <c r="B182" s="42">
        <v>14.0</v>
      </c>
      <c r="C182" s="42">
        <v>9.0</v>
      </c>
      <c r="D182" s="54">
        <v>559.0</v>
      </c>
      <c r="E182" s="54">
        <v>1200393.0</v>
      </c>
      <c r="F182" s="54">
        <v>581.0</v>
      </c>
      <c r="G182" s="54">
        <v>1200352.0</v>
      </c>
      <c r="H182" s="55">
        <v>567.0</v>
      </c>
      <c r="I182" s="54">
        <v>1210000.0</v>
      </c>
      <c r="J182" s="42">
        <v>534.0</v>
      </c>
      <c r="K182" s="42">
        <v>223244.0</v>
      </c>
      <c r="L182" s="32">
        <f t="shared" si="1"/>
        <v>-4.472271914</v>
      </c>
      <c r="M182" s="32">
        <f t="shared" si="2"/>
        <v>-8.089500861</v>
      </c>
      <c r="N182" s="32">
        <f t="shared" si="3"/>
        <v>-5.82010582</v>
      </c>
    </row>
    <row r="183">
      <c r="A183" s="42" t="s">
        <v>157</v>
      </c>
      <c r="B183" s="42">
        <v>14.0</v>
      </c>
      <c r="C183" s="42">
        <v>10.0</v>
      </c>
      <c r="D183" s="54">
        <v>560.0</v>
      </c>
      <c r="E183" s="54">
        <v>1200902.0</v>
      </c>
      <c r="F183" s="54">
        <v>574.0</v>
      </c>
      <c r="G183" s="54">
        <v>1200559.0</v>
      </c>
      <c r="H183" s="55">
        <v>567.0</v>
      </c>
      <c r="I183" s="54">
        <v>1210000.0</v>
      </c>
      <c r="J183" s="42">
        <v>532.0</v>
      </c>
      <c r="K183" s="42">
        <v>220793.0</v>
      </c>
      <c r="L183" s="32">
        <f t="shared" si="1"/>
        <v>-5</v>
      </c>
      <c r="M183" s="32">
        <f t="shared" si="2"/>
        <v>-7.317073171</v>
      </c>
      <c r="N183" s="32">
        <f t="shared" si="3"/>
        <v>-6.172839506</v>
      </c>
    </row>
    <row r="184">
      <c r="A184" s="42" t="s">
        <v>157</v>
      </c>
      <c r="B184" s="42">
        <v>18.0</v>
      </c>
      <c r="C184" s="42">
        <v>1.0</v>
      </c>
      <c r="D184" s="54">
        <v>573.0</v>
      </c>
      <c r="E184" s="54">
        <v>1200128.0</v>
      </c>
      <c r="F184" s="54">
        <v>586.0</v>
      </c>
      <c r="G184" s="54">
        <v>1080620.0</v>
      </c>
      <c r="H184" s="55">
        <v>578.0</v>
      </c>
      <c r="I184" s="54">
        <v>1210000.0</v>
      </c>
      <c r="J184" s="42">
        <v>558.0</v>
      </c>
      <c r="K184" s="42">
        <v>264973.0</v>
      </c>
      <c r="L184" s="32">
        <f t="shared" si="1"/>
        <v>-2.617801047</v>
      </c>
      <c r="M184" s="32">
        <f t="shared" si="2"/>
        <v>-4.778156997</v>
      </c>
      <c r="N184" s="32">
        <f t="shared" si="3"/>
        <v>-3.460207612</v>
      </c>
    </row>
    <row r="185">
      <c r="A185" s="42" t="s">
        <v>157</v>
      </c>
      <c r="B185" s="42">
        <v>18.0</v>
      </c>
      <c r="C185" s="42">
        <v>2.0</v>
      </c>
      <c r="D185" s="54">
        <v>575.0</v>
      </c>
      <c r="E185" s="54">
        <v>1199877.0</v>
      </c>
      <c r="F185" s="54">
        <v>588.0</v>
      </c>
      <c r="G185" s="54">
        <v>1200583.0</v>
      </c>
      <c r="H185" s="55">
        <v>579.0</v>
      </c>
      <c r="I185" s="54">
        <v>1210000.0</v>
      </c>
      <c r="J185" s="42">
        <v>557.0</v>
      </c>
      <c r="K185" s="42">
        <v>275957.0</v>
      </c>
      <c r="L185" s="32">
        <f t="shared" si="1"/>
        <v>-3.130434783</v>
      </c>
      <c r="M185" s="32">
        <f t="shared" si="2"/>
        <v>-5.272108844</v>
      </c>
      <c r="N185" s="32">
        <f t="shared" si="3"/>
        <v>-3.799654577</v>
      </c>
    </row>
    <row r="186">
      <c r="A186" s="42" t="s">
        <v>157</v>
      </c>
      <c r="B186" s="42">
        <v>18.0</v>
      </c>
      <c r="C186" s="42">
        <v>3.0</v>
      </c>
      <c r="D186" s="54">
        <v>574.0</v>
      </c>
      <c r="E186" s="54">
        <v>1201088.0</v>
      </c>
      <c r="F186" s="54">
        <v>583.0</v>
      </c>
      <c r="G186" s="54">
        <v>1200659.0</v>
      </c>
      <c r="H186" s="55">
        <v>578.0</v>
      </c>
      <c r="I186" s="54">
        <v>1210000.0</v>
      </c>
      <c r="J186" s="42">
        <v>558.0</v>
      </c>
      <c r="K186" s="42">
        <v>264179.0</v>
      </c>
      <c r="L186" s="32">
        <f t="shared" si="1"/>
        <v>-2.787456446</v>
      </c>
      <c r="M186" s="32">
        <f t="shared" si="2"/>
        <v>-4.288164666</v>
      </c>
      <c r="N186" s="32">
        <f t="shared" si="3"/>
        <v>-3.460207612</v>
      </c>
    </row>
    <row r="187">
      <c r="A187" s="42" t="s">
        <v>157</v>
      </c>
      <c r="B187" s="42">
        <v>18.0</v>
      </c>
      <c r="C187" s="42">
        <v>4.0</v>
      </c>
      <c r="D187" s="54">
        <v>576.0</v>
      </c>
      <c r="E187" s="54">
        <v>1200050.0</v>
      </c>
      <c r="F187" s="54">
        <v>586.0</v>
      </c>
      <c r="G187" s="54">
        <v>1200638.0</v>
      </c>
      <c r="H187" s="55">
        <v>577.0</v>
      </c>
      <c r="I187" s="54">
        <v>1210000.0</v>
      </c>
      <c r="J187" s="42">
        <v>556.0</v>
      </c>
      <c r="K187" s="42">
        <v>264256.0</v>
      </c>
      <c r="L187" s="32">
        <f t="shared" si="1"/>
        <v>-3.472222222</v>
      </c>
      <c r="M187" s="32">
        <f t="shared" si="2"/>
        <v>-5.119453925</v>
      </c>
      <c r="N187" s="32">
        <f t="shared" si="3"/>
        <v>-3.639514731</v>
      </c>
    </row>
    <row r="188">
      <c r="A188" s="42" t="s">
        <v>157</v>
      </c>
      <c r="B188" s="42">
        <v>18.0</v>
      </c>
      <c r="C188" s="42">
        <v>5.0</v>
      </c>
      <c r="D188" s="54">
        <v>575.0</v>
      </c>
      <c r="E188" s="54">
        <v>1200451.0</v>
      </c>
      <c r="F188" s="54">
        <v>587.0</v>
      </c>
      <c r="G188" s="54">
        <v>1200368.0</v>
      </c>
      <c r="H188" s="55">
        <v>578.0</v>
      </c>
      <c r="I188" s="54">
        <v>1210000.0</v>
      </c>
      <c r="J188" s="42">
        <v>557.0</v>
      </c>
      <c r="K188" s="42">
        <v>266256.0</v>
      </c>
      <c r="L188" s="32">
        <f t="shared" si="1"/>
        <v>-3.130434783</v>
      </c>
      <c r="M188" s="32">
        <f t="shared" si="2"/>
        <v>-5.110732538</v>
      </c>
      <c r="N188" s="32">
        <f t="shared" si="3"/>
        <v>-3.633217993</v>
      </c>
    </row>
    <row r="189">
      <c r="A189" s="42" t="s">
        <v>157</v>
      </c>
      <c r="B189" s="42">
        <v>18.0</v>
      </c>
      <c r="C189" s="42">
        <v>6.0</v>
      </c>
      <c r="D189" s="54">
        <v>574.0</v>
      </c>
      <c r="E189" s="54">
        <v>1200684.0</v>
      </c>
      <c r="F189" s="54">
        <v>587.0</v>
      </c>
      <c r="G189" s="54">
        <v>1200400.0</v>
      </c>
      <c r="H189" s="55">
        <v>578.0</v>
      </c>
      <c r="I189" s="54">
        <v>1210000.0</v>
      </c>
      <c r="J189" s="42">
        <v>557.0</v>
      </c>
      <c r="K189" s="42">
        <v>265222.0</v>
      </c>
      <c r="L189" s="32">
        <f t="shared" si="1"/>
        <v>-2.961672474</v>
      </c>
      <c r="M189" s="32">
        <f t="shared" si="2"/>
        <v>-5.110732538</v>
      </c>
      <c r="N189" s="32">
        <f t="shared" si="3"/>
        <v>-3.633217993</v>
      </c>
    </row>
    <row r="190">
      <c r="A190" s="42" t="s">
        <v>157</v>
      </c>
      <c r="B190" s="42">
        <v>18.0</v>
      </c>
      <c r="C190" s="42">
        <v>7.0</v>
      </c>
      <c r="D190" s="54">
        <v>572.0</v>
      </c>
      <c r="E190" s="54">
        <v>1200607.0</v>
      </c>
      <c r="F190" s="54">
        <v>587.0</v>
      </c>
      <c r="G190" s="54">
        <v>1200558.0</v>
      </c>
      <c r="H190" s="55">
        <v>578.0</v>
      </c>
      <c r="I190" s="54">
        <v>1210000.0</v>
      </c>
      <c r="J190" s="42">
        <v>557.0</v>
      </c>
      <c r="K190" s="42">
        <v>261857.0</v>
      </c>
      <c r="L190" s="32">
        <f t="shared" si="1"/>
        <v>-2.622377622</v>
      </c>
      <c r="M190" s="32">
        <f t="shared" si="2"/>
        <v>-5.110732538</v>
      </c>
      <c r="N190" s="32">
        <f t="shared" si="3"/>
        <v>-3.633217993</v>
      </c>
    </row>
    <row r="191">
      <c r="A191" s="42" t="s">
        <v>157</v>
      </c>
      <c r="B191" s="42">
        <v>18.0</v>
      </c>
      <c r="C191" s="42">
        <v>8.0</v>
      </c>
      <c r="D191" s="54">
        <v>572.0</v>
      </c>
      <c r="E191" s="54">
        <v>1200538.0</v>
      </c>
      <c r="F191" s="54">
        <v>588.0</v>
      </c>
      <c r="G191" s="54">
        <v>1080606.0</v>
      </c>
      <c r="H191" s="55">
        <v>579.0</v>
      </c>
      <c r="I191" s="54">
        <v>1210000.0</v>
      </c>
      <c r="J191" s="42">
        <v>558.0</v>
      </c>
      <c r="K191" s="42">
        <v>294132.0</v>
      </c>
      <c r="L191" s="32">
        <f t="shared" si="1"/>
        <v>-2.447552448</v>
      </c>
      <c r="M191" s="32">
        <f t="shared" si="2"/>
        <v>-5.102040816</v>
      </c>
      <c r="N191" s="32">
        <f t="shared" si="3"/>
        <v>-3.626943005</v>
      </c>
    </row>
    <row r="192">
      <c r="A192" s="42" t="s">
        <v>157</v>
      </c>
      <c r="B192" s="42">
        <v>18.0</v>
      </c>
      <c r="C192" s="42">
        <v>9.0</v>
      </c>
      <c r="D192" s="54">
        <v>572.0</v>
      </c>
      <c r="E192" s="54">
        <v>1200634.0</v>
      </c>
      <c r="F192" s="54">
        <v>588.0</v>
      </c>
      <c r="G192" s="54">
        <v>1200529.0</v>
      </c>
      <c r="H192" s="55">
        <v>579.0</v>
      </c>
      <c r="I192" s="54">
        <v>1210000.0</v>
      </c>
      <c r="J192" s="42">
        <v>558.0</v>
      </c>
      <c r="K192" s="42">
        <v>258962.0</v>
      </c>
      <c r="L192" s="32">
        <f t="shared" si="1"/>
        <v>-2.447552448</v>
      </c>
      <c r="M192" s="32">
        <f t="shared" si="2"/>
        <v>-5.102040816</v>
      </c>
      <c r="N192" s="32">
        <f t="shared" si="3"/>
        <v>-3.626943005</v>
      </c>
    </row>
    <row r="193">
      <c r="A193" s="42" t="s">
        <v>157</v>
      </c>
      <c r="B193" s="42">
        <v>18.0</v>
      </c>
      <c r="C193" s="42">
        <v>10.0</v>
      </c>
      <c r="D193" s="54">
        <v>573.0</v>
      </c>
      <c r="E193" s="54">
        <v>1199887.0</v>
      </c>
      <c r="F193" s="54">
        <v>586.0</v>
      </c>
      <c r="G193" s="54">
        <v>1200390.0</v>
      </c>
      <c r="H193" s="55">
        <v>579.0</v>
      </c>
      <c r="I193" s="54">
        <v>1210000.0</v>
      </c>
      <c r="J193" s="42">
        <v>557.0</v>
      </c>
      <c r="K193" s="42">
        <v>264726.0</v>
      </c>
      <c r="L193" s="32">
        <f t="shared" si="1"/>
        <v>-2.792321117</v>
      </c>
      <c r="M193" s="32">
        <f t="shared" si="2"/>
        <v>-4.948805461</v>
      </c>
      <c r="N193" s="32">
        <f t="shared" si="3"/>
        <v>-3.799654577</v>
      </c>
    </row>
    <row r="194">
      <c r="A194" s="42" t="s">
        <v>157</v>
      </c>
      <c r="B194" s="42">
        <v>20.0</v>
      </c>
      <c r="C194" s="42">
        <v>1.0</v>
      </c>
      <c r="D194" s="54">
        <v>578.0</v>
      </c>
      <c r="E194" s="54">
        <v>1200845.0</v>
      </c>
      <c r="F194" s="54">
        <v>589.0</v>
      </c>
      <c r="G194" s="54">
        <v>1080492.0</v>
      </c>
      <c r="H194" s="55">
        <v>581.0</v>
      </c>
      <c r="I194" s="54">
        <v>1210000.0</v>
      </c>
      <c r="J194" s="42">
        <v>565.0</v>
      </c>
      <c r="K194" s="42">
        <v>288965.0</v>
      </c>
      <c r="L194" s="32">
        <f t="shared" si="1"/>
        <v>-2.249134948</v>
      </c>
      <c r="M194" s="32">
        <f t="shared" si="2"/>
        <v>-4.074702886</v>
      </c>
      <c r="N194" s="32">
        <f t="shared" si="3"/>
        <v>-2.753872633</v>
      </c>
    </row>
    <row r="195">
      <c r="A195" s="42" t="s">
        <v>157</v>
      </c>
      <c r="B195" s="42">
        <v>20.0</v>
      </c>
      <c r="C195" s="42">
        <v>2.0</v>
      </c>
      <c r="D195" s="54">
        <v>577.0</v>
      </c>
      <c r="E195" s="54">
        <v>1200217.0</v>
      </c>
      <c r="F195" s="54">
        <v>589.0</v>
      </c>
      <c r="G195" s="54">
        <v>1200470.0</v>
      </c>
      <c r="H195" s="55">
        <v>582.0</v>
      </c>
      <c r="I195" s="54">
        <v>1210000.0</v>
      </c>
      <c r="J195" s="42">
        <v>565.0</v>
      </c>
      <c r="K195" s="42">
        <v>284676.0</v>
      </c>
      <c r="L195" s="32">
        <f t="shared" si="1"/>
        <v>-2.079722704</v>
      </c>
      <c r="M195" s="32">
        <f t="shared" si="2"/>
        <v>-4.074702886</v>
      </c>
      <c r="N195" s="32">
        <f t="shared" si="3"/>
        <v>-2.920962199</v>
      </c>
    </row>
    <row r="196">
      <c r="A196" s="42" t="s">
        <v>157</v>
      </c>
      <c r="B196" s="42">
        <v>20.0</v>
      </c>
      <c r="C196" s="42">
        <v>3.0</v>
      </c>
      <c r="D196" s="54">
        <v>575.0</v>
      </c>
      <c r="E196" s="54">
        <v>1200350.0</v>
      </c>
      <c r="F196" s="54">
        <v>590.0</v>
      </c>
      <c r="G196" s="54">
        <v>1200362.0</v>
      </c>
      <c r="H196" s="55">
        <v>581.0</v>
      </c>
      <c r="I196" s="54">
        <v>1210000.0</v>
      </c>
      <c r="J196" s="42">
        <v>565.0</v>
      </c>
      <c r="K196" s="42">
        <v>285098.0</v>
      </c>
      <c r="L196" s="32">
        <f t="shared" si="1"/>
        <v>-1.739130435</v>
      </c>
      <c r="M196" s="32">
        <f t="shared" si="2"/>
        <v>-4.237288136</v>
      </c>
      <c r="N196" s="32">
        <f t="shared" si="3"/>
        <v>-2.753872633</v>
      </c>
    </row>
    <row r="197">
      <c r="A197" s="42" t="s">
        <v>157</v>
      </c>
      <c r="B197" s="42">
        <v>20.0</v>
      </c>
      <c r="C197" s="42">
        <v>4.0</v>
      </c>
      <c r="D197" s="54">
        <v>576.0</v>
      </c>
      <c r="E197" s="54">
        <v>1200465.0</v>
      </c>
      <c r="F197" s="54">
        <v>590.0</v>
      </c>
      <c r="G197" s="54">
        <v>1080591.0</v>
      </c>
      <c r="H197" s="55">
        <v>582.0</v>
      </c>
      <c r="I197" s="54">
        <v>1210000.0</v>
      </c>
      <c r="J197" s="42">
        <v>564.0</v>
      </c>
      <c r="K197" s="42">
        <v>282005.0</v>
      </c>
      <c r="L197" s="32">
        <f t="shared" si="1"/>
        <v>-2.083333333</v>
      </c>
      <c r="M197" s="32">
        <f t="shared" si="2"/>
        <v>-4.406779661</v>
      </c>
      <c r="N197" s="32">
        <f t="shared" si="3"/>
        <v>-3.092783505</v>
      </c>
    </row>
    <row r="198">
      <c r="A198" s="42" t="s">
        <v>157</v>
      </c>
      <c r="B198" s="42">
        <v>20.0</v>
      </c>
      <c r="C198" s="42">
        <v>5.0</v>
      </c>
      <c r="D198" s="54">
        <v>580.0</v>
      </c>
      <c r="E198" s="54">
        <v>1200289.0</v>
      </c>
      <c r="F198" s="54">
        <v>589.0</v>
      </c>
      <c r="G198" s="54">
        <v>1200160.0</v>
      </c>
      <c r="H198" s="55">
        <v>582.0</v>
      </c>
      <c r="I198" s="54">
        <v>1210000.0</v>
      </c>
      <c r="J198" s="42">
        <v>566.0</v>
      </c>
      <c r="K198" s="42">
        <v>288805.0</v>
      </c>
      <c r="L198" s="32">
        <f t="shared" si="1"/>
        <v>-2.413793103</v>
      </c>
      <c r="M198" s="32">
        <f t="shared" si="2"/>
        <v>-3.904923599</v>
      </c>
      <c r="N198" s="32">
        <f t="shared" si="3"/>
        <v>-2.749140893</v>
      </c>
    </row>
    <row r="199">
      <c r="A199" s="42" t="s">
        <v>157</v>
      </c>
      <c r="B199" s="42">
        <v>20.0</v>
      </c>
      <c r="C199" s="42">
        <v>6.0</v>
      </c>
      <c r="D199" s="54">
        <v>579.0</v>
      </c>
      <c r="E199" s="54">
        <v>1200463.0</v>
      </c>
      <c r="F199" s="54">
        <v>590.0</v>
      </c>
      <c r="G199" s="54">
        <v>1080621.0</v>
      </c>
      <c r="H199" s="55">
        <v>582.0</v>
      </c>
      <c r="I199" s="54">
        <v>1210000.0</v>
      </c>
      <c r="J199" s="42">
        <v>566.0</v>
      </c>
      <c r="K199" s="42">
        <v>286248.0</v>
      </c>
      <c r="L199" s="32">
        <f t="shared" si="1"/>
        <v>-2.245250432</v>
      </c>
      <c r="M199" s="32">
        <f t="shared" si="2"/>
        <v>-4.06779661</v>
      </c>
      <c r="N199" s="32">
        <f t="shared" si="3"/>
        <v>-2.749140893</v>
      </c>
    </row>
    <row r="200">
      <c r="A200" s="42" t="s">
        <v>157</v>
      </c>
      <c r="B200" s="42">
        <v>20.0</v>
      </c>
      <c r="C200" s="42">
        <v>7.0</v>
      </c>
      <c r="D200" s="54">
        <v>578.0</v>
      </c>
      <c r="E200" s="54">
        <v>1200480.0</v>
      </c>
      <c r="F200" s="54">
        <v>590.0</v>
      </c>
      <c r="G200" s="54">
        <v>1200559.0</v>
      </c>
      <c r="H200" s="55">
        <v>582.0</v>
      </c>
      <c r="I200" s="54">
        <v>1210000.0</v>
      </c>
      <c r="J200" s="42">
        <v>566.0</v>
      </c>
      <c r="K200" s="42">
        <v>283976.0</v>
      </c>
      <c r="L200" s="32">
        <f t="shared" si="1"/>
        <v>-2.076124567</v>
      </c>
      <c r="M200" s="32">
        <f t="shared" si="2"/>
        <v>-4.06779661</v>
      </c>
      <c r="N200" s="32">
        <f t="shared" si="3"/>
        <v>-2.749140893</v>
      </c>
    </row>
    <row r="201">
      <c r="A201" s="42" t="s">
        <v>157</v>
      </c>
      <c r="B201" s="42">
        <v>20.0</v>
      </c>
      <c r="C201" s="42">
        <v>8.0</v>
      </c>
      <c r="D201" s="54">
        <v>579.0</v>
      </c>
      <c r="E201" s="54">
        <v>1200347.0</v>
      </c>
      <c r="F201" s="54">
        <v>589.0</v>
      </c>
      <c r="G201" s="54">
        <v>1200549.0</v>
      </c>
      <c r="H201" s="55">
        <v>582.0</v>
      </c>
      <c r="I201" s="54">
        <v>1210000.0</v>
      </c>
      <c r="J201" s="42">
        <v>567.0</v>
      </c>
      <c r="K201" s="42">
        <v>291563.0</v>
      </c>
      <c r="L201" s="32">
        <f t="shared" si="1"/>
        <v>-2.07253886</v>
      </c>
      <c r="M201" s="32">
        <f t="shared" si="2"/>
        <v>-3.735144312</v>
      </c>
      <c r="N201" s="32">
        <f t="shared" si="3"/>
        <v>-2.577319588</v>
      </c>
    </row>
    <row r="202">
      <c r="A202" s="42" t="s">
        <v>157</v>
      </c>
      <c r="B202" s="42">
        <v>20.0</v>
      </c>
      <c r="C202" s="42">
        <v>9.0</v>
      </c>
      <c r="D202" s="54">
        <v>579.0</v>
      </c>
      <c r="E202" s="54">
        <v>1200827.0</v>
      </c>
      <c r="F202" s="54">
        <v>590.0</v>
      </c>
      <c r="G202" s="54">
        <v>1080558.0</v>
      </c>
      <c r="H202" s="55">
        <v>582.0</v>
      </c>
      <c r="I202" s="54">
        <v>1210000.0</v>
      </c>
      <c r="J202" s="42">
        <v>565.0</v>
      </c>
      <c r="K202" s="42">
        <v>277723.0</v>
      </c>
      <c r="L202" s="32">
        <f t="shared" si="1"/>
        <v>-2.417962003</v>
      </c>
      <c r="M202" s="32">
        <f t="shared" si="2"/>
        <v>-4.237288136</v>
      </c>
      <c r="N202" s="32">
        <f t="shared" si="3"/>
        <v>-2.920962199</v>
      </c>
    </row>
    <row r="203">
      <c r="A203" s="42" t="s">
        <v>157</v>
      </c>
      <c r="B203" s="42">
        <v>20.0</v>
      </c>
      <c r="C203" s="42">
        <v>10.0</v>
      </c>
      <c r="D203" s="54">
        <v>576.0</v>
      </c>
      <c r="E203" s="54">
        <v>1200693.0</v>
      </c>
      <c r="F203" s="54">
        <v>588.0</v>
      </c>
      <c r="G203" s="54">
        <v>1200331.0</v>
      </c>
      <c r="H203" s="55">
        <v>582.0</v>
      </c>
      <c r="I203" s="54">
        <v>1210000.0</v>
      </c>
      <c r="J203" s="42">
        <v>566.0</v>
      </c>
      <c r="K203" s="42">
        <v>279696.0</v>
      </c>
      <c r="L203" s="32">
        <f t="shared" si="1"/>
        <v>-1.736111111</v>
      </c>
      <c r="M203" s="32">
        <f t="shared" si="2"/>
        <v>-3.741496599</v>
      </c>
      <c r="N203" s="32">
        <f t="shared" si="3"/>
        <v>-2.749140893</v>
      </c>
    </row>
    <row r="204">
      <c r="A204" s="42" t="s">
        <v>157</v>
      </c>
      <c r="B204" s="42">
        <v>24.0</v>
      </c>
      <c r="C204" s="42">
        <v>1.0</v>
      </c>
      <c r="D204" s="54">
        <v>584.0</v>
      </c>
      <c r="E204" s="54">
        <v>1200655.0</v>
      </c>
      <c r="F204" s="54">
        <v>591.0</v>
      </c>
      <c r="G204" s="54">
        <v>1080577.0</v>
      </c>
      <c r="H204" s="55">
        <v>586.0</v>
      </c>
      <c r="I204" s="54">
        <v>1210000.0</v>
      </c>
      <c r="J204" s="42">
        <v>576.0</v>
      </c>
      <c r="K204" s="42">
        <v>328527.0</v>
      </c>
      <c r="L204" s="32">
        <f t="shared" si="1"/>
        <v>-1.369863014</v>
      </c>
      <c r="M204" s="32">
        <f t="shared" si="2"/>
        <v>-2.538071066</v>
      </c>
      <c r="N204" s="32">
        <f t="shared" si="3"/>
        <v>-1.706484642</v>
      </c>
    </row>
    <row r="205">
      <c r="A205" s="42" t="s">
        <v>157</v>
      </c>
      <c r="B205" s="42">
        <v>24.0</v>
      </c>
      <c r="C205" s="42">
        <v>2.0</v>
      </c>
      <c r="D205" s="54">
        <v>584.0</v>
      </c>
      <c r="E205" s="54">
        <v>1200021.0</v>
      </c>
      <c r="F205" s="54">
        <v>592.0</v>
      </c>
      <c r="G205" s="54">
        <v>1080681.0</v>
      </c>
      <c r="H205" s="55">
        <v>587.0</v>
      </c>
      <c r="I205" s="54">
        <v>1210000.0</v>
      </c>
      <c r="J205" s="42">
        <v>575.0</v>
      </c>
      <c r="K205" s="42">
        <v>319488.0</v>
      </c>
      <c r="L205" s="32">
        <f t="shared" si="1"/>
        <v>-1.54109589</v>
      </c>
      <c r="M205" s="32">
        <f t="shared" si="2"/>
        <v>-2.871621622</v>
      </c>
      <c r="N205" s="32">
        <f t="shared" si="3"/>
        <v>-2.044293015</v>
      </c>
    </row>
    <row r="206">
      <c r="A206" s="42" t="s">
        <v>157</v>
      </c>
      <c r="B206" s="42">
        <v>24.0</v>
      </c>
      <c r="C206" s="42">
        <v>3.0</v>
      </c>
      <c r="D206" s="54">
        <v>582.0</v>
      </c>
      <c r="E206" s="54">
        <v>1199874.0</v>
      </c>
      <c r="F206" s="54">
        <v>593.0</v>
      </c>
      <c r="G206" s="54">
        <v>1080515.0</v>
      </c>
      <c r="H206" s="55">
        <v>587.0</v>
      </c>
      <c r="I206" s="54">
        <v>1210000.0</v>
      </c>
      <c r="J206" s="42">
        <v>576.0</v>
      </c>
      <c r="K206" s="42">
        <v>324455.0</v>
      </c>
      <c r="L206" s="32">
        <f t="shared" si="1"/>
        <v>-1.030927835</v>
      </c>
      <c r="M206" s="32">
        <f t="shared" si="2"/>
        <v>-2.866779089</v>
      </c>
      <c r="N206" s="32">
        <f t="shared" si="3"/>
        <v>-1.873935264</v>
      </c>
    </row>
    <row r="207">
      <c r="A207" s="42" t="s">
        <v>157</v>
      </c>
      <c r="B207" s="42">
        <v>24.0</v>
      </c>
      <c r="C207" s="42">
        <v>4.0</v>
      </c>
      <c r="D207" s="54">
        <v>583.0</v>
      </c>
      <c r="E207" s="54">
        <v>1200053.0</v>
      </c>
      <c r="F207" s="54">
        <v>591.0</v>
      </c>
      <c r="G207" s="54">
        <v>1200491.0</v>
      </c>
      <c r="H207" s="55">
        <v>587.0</v>
      </c>
      <c r="I207" s="54">
        <v>1210000.0</v>
      </c>
      <c r="J207" s="42">
        <v>576.0</v>
      </c>
      <c r="K207" s="42">
        <v>325909.0</v>
      </c>
      <c r="L207" s="32">
        <f t="shared" si="1"/>
        <v>-1.200686106</v>
      </c>
      <c r="M207" s="32">
        <f t="shared" si="2"/>
        <v>-2.538071066</v>
      </c>
      <c r="N207" s="32">
        <f t="shared" si="3"/>
        <v>-1.873935264</v>
      </c>
    </row>
    <row r="208">
      <c r="A208" s="42" t="s">
        <v>157</v>
      </c>
      <c r="B208" s="42">
        <v>24.0</v>
      </c>
      <c r="C208" s="42">
        <v>5.0</v>
      </c>
      <c r="D208" s="54">
        <v>584.0</v>
      </c>
      <c r="E208" s="54">
        <v>1200664.0</v>
      </c>
      <c r="F208" s="54">
        <v>593.0</v>
      </c>
      <c r="G208" s="54">
        <v>1200633.0</v>
      </c>
      <c r="H208" s="55">
        <v>587.0</v>
      </c>
      <c r="I208" s="54">
        <v>1210000.0</v>
      </c>
      <c r="J208" s="42">
        <v>575.0</v>
      </c>
      <c r="K208" s="42">
        <v>319317.0</v>
      </c>
      <c r="L208" s="32">
        <f t="shared" si="1"/>
        <v>-1.54109589</v>
      </c>
      <c r="M208" s="32">
        <f t="shared" si="2"/>
        <v>-3.035413153</v>
      </c>
      <c r="N208" s="32">
        <f t="shared" si="3"/>
        <v>-2.044293015</v>
      </c>
    </row>
    <row r="209">
      <c r="A209" s="42" t="s">
        <v>157</v>
      </c>
      <c r="B209" s="42">
        <v>24.0</v>
      </c>
      <c r="C209" s="42">
        <v>6.0</v>
      </c>
      <c r="D209" s="54">
        <v>583.0</v>
      </c>
      <c r="E209" s="54">
        <v>1199988.0</v>
      </c>
      <c r="F209" s="54">
        <v>593.0</v>
      </c>
      <c r="G209" s="54">
        <v>1200533.0</v>
      </c>
      <c r="H209" s="55">
        <v>587.0</v>
      </c>
      <c r="I209" s="54">
        <v>1210000.0</v>
      </c>
      <c r="J209" s="42">
        <v>576.0</v>
      </c>
      <c r="K209" s="42">
        <v>326867.0</v>
      </c>
      <c r="L209" s="32">
        <f t="shared" si="1"/>
        <v>-1.200686106</v>
      </c>
      <c r="M209" s="32">
        <f t="shared" si="2"/>
        <v>-2.866779089</v>
      </c>
      <c r="N209" s="32">
        <f t="shared" si="3"/>
        <v>-1.873935264</v>
      </c>
    </row>
    <row r="210">
      <c r="A210" s="42" t="s">
        <v>157</v>
      </c>
      <c r="B210" s="42">
        <v>24.0</v>
      </c>
      <c r="C210" s="42">
        <v>7.0</v>
      </c>
      <c r="D210" s="54">
        <v>584.0</v>
      </c>
      <c r="E210" s="54">
        <v>1200918.0</v>
      </c>
      <c r="F210" s="54">
        <v>593.0</v>
      </c>
      <c r="G210" s="54">
        <v>1200560.0</v>
      </c>
      <c r="H210" s="55">
        <v>587.0</v>
      </c>
      <c r="I210" s="54">
        <v>1210000.0</v>
      </c>
      <c r="J210" s="42">
        <v>576.0</v>
      </c>
      <c r="K210" s="42">
        <v>321692.0</v>
      </c>
      <c r="L210" s="32">
        <f t="shared" si="1"/>
        <v>-1.369863014</v>
      </c>
      <c r="M210" s="32">
        <f t="shared" si="2"/>
        <v>-2.866779089</v>
      </c>
      <c r="N210" s="32">
        <f t="shared" si="3"/>
        <v>-1.873935264</v>
      </c>
    </row>
    <row r="211">
      <c r="A211" s="42" t="s">
        <v>157</v>
      </c>
      <c r="B211" s="42">
        <v>24.0</v>
      </c>
      <c r="C211" s="42">
        <v>8.0</v>
      </c>
      <c r="D211" s="54">
        <v>584.0</v>
      </c>
      <c r="E211" s="54">
        <v>1200748.0</v>
      </c>
      <c r="F211" s="54">
        <v>593.0</v>
      </c>
      <c r="G211" s="54">
        <v>1200257.0</v>
      </c>
      <c r="H211" s="55">
        <v>587.0</v>
      </c>
      <c r="I211" s="54">
        <v>1210000.0</v>
      </c>
      <c r="J211" s="42">
        <v>576.0</v>
      </c>
      <c r="K211" s="42">
        <v>334764.0</v>
      </c>
      <c r="L211" s="32">
        <f t="shared" si="1"/>
        <v>-1.369863014</v>
      </c>
      <c r="M211" s="32">
        <f t="shared" si="2"/>
        <v>-2.866779089</v>
      </c>
      <c r="N211" s="32">
        <f t="shared" si="3"/>
        <v>-1.873935264</v>
      </c>
    </row>
    <row r="212">
      <c r="A212" s="42" t="s">
        <v>157</v>
      </c>
      <c r="B212" s="42">
        <v>24.0</v>
      </c>
      <c r="C212" s="42">
        <v>9.0</v>
      </c>
      <c r="D212" s="54">
        <v>584.0</v>
      </c>
      <c r="E212" s="54">
        <v>1199894.0</v>
      </c>
      <c r="F212" s="54">
        <v>592.0</v>
      </c>
      <c r="G212" s="54">
        <v>1200443.0</v>
      </c>
      <c r="H212" s="55">
        <v>587.0</v>
      </c>
      <c r="I212" s="54">
        <v>1210000.0</v>
      </c>
      <c r="J212" s="42">
        <v>576.0</v>
      </c>
      <c r="K212" s="42">
        <v>322651.0</v>
      </c>
      <c r="L212" s="32">
        <f t="shared" si="1"/>
        <v>-1.369863014</v>
      </c>
      <c r="M212" s="32">
        <f t="shared" si="2"/>
        <v>-2.702702703</v>
      </c>
      <c r="N212" s="32">
        <f t="shared" si="3"/>
        <v>-1.873935264</v>
      </c>
    </row>
    <row r="213">
      <c r="A213" s="42" t="s">
        <v>157</v>
      </c>
      <c r="B213" s="42">
        <v>24.0</v>
      </c>
      <c r="C213" s="42">
        <v>10.0</v>
      </c>
      <c r="D213" s="54">
        <v>585.0</v>
      </c>
      <c r="E213" s="54">
        <v>1200217.0</v>
      </c>
      <c r="F213" s="54">
        <v>592.0</v>
      </c>
      <c r="G213" s="54">
        <v>1080761.0</v>
      </c>
      <c r="H213" s="55">
        <v>587.0</v>
      </c>
      <c r="I213" s="54">
        <v>1210000.0</v>
      </c>
      <c r="J213" s="42">
        <v>574.0</v>
      </c>
      <c r="K213" s="42">
        <v>317728.0</v>
      </c>
      <c r="L213" s="32">
        <f t="shared" si="1"/>
        <v>-1.88034188</v>
      </c>
      <c r="M213" s="32">
        <f t="shared" si="2"/>
        <v>-3.040540541</v>
      </c>
      <c r="N213" s="32">
        <f t="shared" si="3"/>
        <v>-2.214650767</v>
      </c>
    </row>
    <row r="214">
      <c r="A214" s="42" t="s">
        <v>157</v>
      </c>
      <c r="B214" s="42">
        <v>28.0</v>
      </c>
      <c r="C214" s="42">
        <v>1.0</v>
      </c>
      <c r="D214" s="54">
        <v>590.0</v>
      </c>
      <c r="E214" s="54">
        <v>1200117.0</v>
      </c>
      <c r="F214" s="54">
        <v>594.0</v>
      </c>
      <c r="G214" s="54">
        <v>1080081.0</v>
      </c>
      <c r="H214" s="55">
        <v>590.0</v>
      </c>
      <c r="I214" s="54">
        <v>1210000.0</v>
      </c>
      <c r="J214" s="42">
        <v>582.0</v>
      </c>
      <c r="K214" s="42">
        <v>377676.0</v>
      </c>
      <c r="L214" s="32">
        <f t="shared" si="1"/>
        <v>-1.355932203</v>
      </c>
      <c r="M214" s="32">
        <f t="shared" si="2"/>
        <v>-2.02020202</v>
      </c>
      <c r="N214" s="32">
        <f t="shared" si="3"/>
        <v>-1.355932203</v>
      </c>
    </row>
    <row r="215">
      <c r="A215" s="42" t="s">
        <v>157</v>
      </c>
      <c r="B215" s="42">
        <v>28.0</v>
      </c>
      <c r="C215" s="42">
        <v>2.0</v>
      </c>
      <c r="D215" s="54">
        <v>587.0</v>
      </c>
      <c r="E215" s="54">
        <v>1200036.0</v>
      </c>
      <c r="F215" s="54">
        <v>593.0</v>
      </c>
      <c r="G215" s="54">
        <v>1200259.0</v>
      </c>
      <c r="H215" s="55">
        <v>590.0</v>
      </c>
      <c r="I215" s="54">
        <v>1210000.0</v>
      </c>
      <c r="J215" s="42">
        <v>583.0</v>
      </c>
      <c r="K215" s="42">
        <v>370110.0</v>
      </c>
      <c r="L215" s="32">
        <f t="shared" si="1"/>
        <v>-0.6814310051</v>
      </c>
      <c r="M215" s="32">
        <f t="shared" si="2"/>
        <v>-1.686340641</v>
      </c>
      <c r="N215" s="32">
        <f t="shared" si="3"/>
        <v>-1.186440678</v>
      </c>
    </row>
    <row r="216">
      <c r="A216" s="42" t="s">
        <v>157</v>
      </c>
      <c r="B216" s="42">
        <v>28.0</v>
      </c>
      <c r="C216" s="42">
        <v>3.0</v>
      </c>
      <c r="D216" s="54">
        <v>586.0</v>
      </c>
      <c r="E216" s="54">
        <v>1200385.0</v>
      </c>
      <c r="F216" s="54">
        <v>594.0</v>
      </c>
      <c r="G216" s="54">
        <v>1200544.0</v>
      </c>
      <c r="H216" s="55">
        <v>590.0</v>
      </c>
      <c r="I216" s="54">
        <v>1210000.0</v>
      </c>
      <c r="J216" s="42">
        <v>582.0</v>
      </c>
      <c r="K216" s="42">
        <v>372555.0</v>
      </c>
      <c r="L216" s="32">
        <f t="shared" si="1"/>
        <v>-0.6825938567</v>
      </c>
      <c r="M216" s="32">
        <f t="shared" si="2"/>
        <v>-2.02020202</v>
      </c>
      <c r="N216" s="32">
        <f t="shared" si="3"/>
        <v>-1.355932203</v>
      </c>
    </row>
    <row r="217">
      <c r="A217" s="42" t="s">
        <v>157</v>
      </c>
      <c r="B217" s="42">
        <v>28.0</v>
      </c>
      <c r="C217" s="42">
        <v>4.0</v>
      </c>
      <c r="D217" s="54">
        <v>589.0</v>
      </c>
      <c r="E217" s="54">
        <v>1199857.0</v>
      </c>
      <c r="F217" s="54">
        <v>593.0</v>
      </c>
      <c r="G217" s="54">
        <v>1080740.0</v>
      </c>
      <c r="H217" s="55">
        <v>590.0</v>
      </c>
      <c r="I217" s="54">
        <v>1210000.0</v>
      </c>
      <c r="J217" s="42">
        <v>582.0</v>
      </c>
      <c r="K217" s="42">
        <v>381906.0</v>
      </c>
      <c r="L217" s="32">
        <f t="shared" si="1"/>
        <v>-1.188455008</v>
      </c>
      <c r="M217" s="32">
        <f t="shared" si="2"/>
        <v>-1.854974705</v>
      </c>
      <c r="N217" s="32">
        <f t="shared" si="3"/>
        <v>-1.355932203</v>
      </c>
    </row>
    <row r="218">
      <c r="A218" s="42" t="s">
        <v>157</v>
      </c>
      <c r="B218" s="42">
        <v>28.0</v>
      </c>
      <c r="C218" s="42">
        <v>5.0</v>
      </c>
      <c r="D218" s="54">
        <v>588.0</v>
      </c>
      <c r="E218" s="54">
        <v>1201076.0</v>
      </c>
      <c r="F218" s="54">
        <v>593.0</v>
      </c>
      <c r="G218" s="54">
        <v>1200410.0</v>
      </c>
      <c r="H218" s="55">
        <v>590.0</v>
      </c>
      <c r="I218" s="54">
        <v>1210000.0</v>
      </c>
      <c r="J218" s="42">
        <v>583.0</v>
      </c>
      <c r="K218" s="42">
        <v>363455.0</v>
      </c>
      <c r="L218" s="32">
        <f t="shared" si="1"/>
        <v>-0.8503401361</v>
      </c>
      <c r="M218" s="32">
        <f t="shared" si="2"/>
        <v>-1.686340641</v>
      </c>
      <c r="N218" s="32">
        <f t="shared" si="3"/>
        <v>-1.186440678</v>
      </c>
    </row>
    <row r="219">
      <c r="A219" s="42" t="s">
        <v>157</v>
      </c>
      <c r="B219" s="42">
        <v>28.0</v>
      </c>
      <c r="C219" s="42">
        <v>6.0</v>
      </c>
      <c r="D219" s="54">
        <v>587.0</v>
      </c>
      <c r="E219" s="54">
        <v>1200589.0</v>
      </c>
      <c r="F219" s="54">
        <v>594.0</v>
      </c>
      <c r="G219" s="54">
        <v>1080429.0</v>
      </c>
      <c r="H219" s="55">
        <v>590.0</v>
      </c>
      <c r="I219" s="54">
        <v>1210000.0</v>
      </c>
      <c r="J219" s="42">
        <v>583.0</v>
      </c>
      <c r="K219" s="42">
        <v>415445.0</v>
      </c>
      <c r="L219" s="32">
        <f t="shared" si="1"/>
        <v>-0.6814310051</v>
      </c>
      <c r="M219" s="32">
        <f t="shared" si="2"/>
        <v>-1.851851852</v>
      </c>
      <c r="N219" s="32">
        <f t="shared" si="3"/>
        <v>-1.186440678</v>
      </c>
    </row>
    <row r="220">
      <c r="A220" s="42" t="s">
        <v>157</v>
      </c>
      <c r="B220" s="42">
        <v>28.0</v>
      </c>
      <c r="C220" s="42">
        <v>7.0</v>
      </c>
      <c r="D220" s="54">
        <v>588.0</v>
      </c>
      <c r="E220" s="54">
        <v>1200941.0</v>
      </c>
      <c r="F220" s="54">
        <v>593.0</v>
      </c>
      <c r="G220" s="54">
        <v>1200477.0</v>
      </c>
      <c r="H220" s="55">
        <v>590.0</v>
      </c>
      <c r="I220" s="54">
        <v>1210000.0</v>
      </c>
      <c r="J220" s="42">
        <v>582.0</v>
      </c>
      <c r="K220" s="42">
        <v>373216.0</v>
      </c>
      <c r="L220" s="32">
        <f t="shared" si="1"/>
        <v>-1.020408163</v>
      </c>
      <c r="M220" s="32">
        <f t="shared" si="2"/>
        <v>-1.854974705</v>
      </c>
      <c r="N220" s="32">
        <f t="shared" si="3"/>
        <v>-1.355932203</v>
      </c>
    </row>
    <row r="221">
      <c r="A221" s="42" t="s">
        <v>157</v>
      </c>
      <c r="B221" s="42">
        <v>28.0</v>
      </c>
      <c r="C221" s="42">
        <v>8.0</v>
      </c>
      <c r="D221" s="54">
        <v>588.0</v>
      </c>
      <c r="E221" s="54">
        <v>1200967.0</v>
      </c>
      <c r="F221" s="54">
        <v>593.0</v>
      </c>
      <c r="G221" s="54">
        <v>1200354.0</v>
      </c>
      <c r="H221" s="55">
        <v>590.0</v>
      </c>
      <c r="I221" s="54">
        <v>1210000.0</v>
      </c>
      <c r="J221" s="42">
        <v>583.0</v>
      </c>
      <c r="K221" s="42">
        <v>372270.0</v>
      </c>
      <c r="L221" s="32">
        <f t="shared" si="1"/>
        <v>-0.8503401361</v>
      </c>
      <c r="M221" s="32">
        <f t="shared" si="2"/>
        <v>-1.686340641</v>
      </c>
      <c r="N221" s="32">
        <f t="shared" si="3"/>
        <v>-1.186440678</v>
      </c>
    </row>
    <row r="222">
      <c r="A222" s="42" t="s">
        <v>157</v>
      </c>
      <c r="B222" s="42">
        <v>28.0</v>
      </c>
      <c r="C222" s="42">
        <v>9.0</v>
      </c>
      <c r="D222" s="54">
        <v>590.0</v>
      </c>
      <c r="E222" s="54">
        <v>1200775.0</v>
      </c>
      <c r="F222" s="54">
        <v>592.0</v>
      </c>
      <c r="G222" s="54">
        <v>1200021.0</v>
      </c>
      <c r="H222" s="55">
        <v>590.0</v>
      </c>
      <c r="I222" s="54">
        <v>1210000.0</v>
      </c>
      <c r="J222" s="42">
        <v>583.0</v>
      </c>
      <c r="K222" s="42">
        <v>372319.0</v>
      </c>
      <c r="L222" s="32">
        <f t="shared" si="1"/>
        <v>-1.186440678</v>
      </c>
      <c r="M222" s="32">
        <f t="shared" si="2"/>
        <v>-1.52027027</v>
      </c>
      <c r="N222" s="32">
        <f t="shared" si="3"/>
        <v>-1.186440678</v>
      </c>
    </row>
    <row r="223">
      <c r="A223" s="42" t="s">
        <v>157</v>
      </c>
      <c r="B223" s="42">
        <v>28.0</v>
      </c>
      <c r="C223" s="42">
        <v>10.0</v>
      </c>
      <c r="D223" s="54">
        <v>589.0</v>
      </c>
      <c r="E223" s="54">
        <v>1200114.0</v>
      </c>
      <c r="F223" s="54">
        <v>595.0</v>
      </c>
      <c r="G223" s="54">
        <v>1080422.0</v>
      </c>
      <c r="H223" s="55">
        <v>591.0</v>
      </c>
      <c r="I223" s="54">
        <v>1210000.0</v>
      </c>
      <c r="J223" s="42">
        <v>584.0</v>
      </c>
      <c r="K223" s="42">
        <v>371116.0</v>
      </c>
      <c r="L223" s="32">
        <f t="shared" si="1"/>
        <v>-0.8488964346</v>
      </c>
      <c r="M223" s="32">
        <f t="shared" si="2"/>
        <v>-1.848739496</v>
      </c>
      <c r="N223" s="32">
        <f t="shared" si="3"/>
        <v>-1.184433164</v>
      </c>
    </row>
    <row r="224">
      <c r="A224" s="42" t="s">
        <v>157</v>
      </c>
      <c r="B224" s="42">
        <v>30.0</v>
      </c>
      <c r="C224" s="42">
        <v>1.0</v>
      </c>
      <c r="D224" s="54">
        <v>590.0</v>
      </c>
      <c r="E224" s="54">
        <v>1200944.0</v>
      </c>
      <c r="F224" s="54">
        <v>595.0</v>
      </c>
      <c r="G224" s="54">
        <v>1200364.0</v>
      </c>
      <c r="H224" s="55">
        <v>591.0</v>
      </c>
      <c r="I224" s="54">
        <v>1210000.0</v>
      </c>
      <c r="J224" s="42">
        <v>585.0</v>
      </c>
      <c r="K224" s="42">
        <v>391431.0</v>
      </c>
      <c r="L224" s="32">
        <f t="shared" si="1"/>
        <v>-0.8474576271</v>
      </c>
      <c r="M224" s="32">
        <f t="shared" si="2"/>
        <v>-1.680672269</v>
      </c>
      <c r="N224" s="32">
        <f t="shared" si="3"/>
        <v>-1.015228426</v>
      </c>
    </row>
    <row r="225">
      <c r="A225" s="42" t="s">
        <v>157</v>
      </c>
      <c r="B225" s="42">
        <v>30.0</v>
      </c>
      <c r="C225" s="42">
        <v>2.0</v>
      </c>
      <c r="D225" s="54">
        <v>592.0</v>
      </c>
      <c r="E225" s="54">
        <v>1200284.0</v>
      </c>
      <c r="F225" s="54">
        <v>594.0</v>
      </c>
      <c r="G225" s="54">
        <v>1200411.0</v>
      </c>
      <c r="H225" s="55">
        <v>591.0</v>
      </c>
      <c r="I225" s="54">
        <v>1210000.0</v>
      </c>
      <c r="J225" s="42">
        <v>584.0</v>
      </c>
      <c r="K225" s="42">
        <v>395136.0</v>
      </c>
      <c r="L225" s="32">
        <f t="shared" si="1"/>
        <v>-1.351351351</v>
      </c>
      <c r="M225" s="32">
        <f t="shared" si="2"/>
        <v>-1.683501684</v>
      </c>
      <c r="N225" s="32">
        <f t="shared" si="3"/>
        <v>-1.184433164</v>
      </c>
    </row>
    <row r="226">
      <c r="A226" s="42" t="s">
        <v>157</v>
      </c>
      <c r="B226" s="42">
        <v>30.0</v>
      </c>
      <c r="C226" s="42">
        <v>3.0</v>
      </c>
      <c r="D226" s="54">
        <v>589.0</v>
      </c>
      <c r="E226" s="54">
        <v>1201140.0</v>
      </c>
      <c r="F226" s="54">
        <v>595.0</v>
      </c>
      <c r="G226" s="54">
        <v>1080467.0</v>
      </c>
      <c r="H226" s="55">
        <v>591.0</v>
      </c>
      <c r="I226" s="54">
        <v>1210000.0</v>
      </c>
      <c r="J226" s="42">
        <v>584.0</v>
      </c>
      <c r="K226" s="42">
        <v>396058.0</v>
      </c>
      <c r="L226" s="32">
        <f t="shared" si="1"/>
        <v>-0.8488964346</v>
      </c>
      <c r="M226" s="32">
        <f t="shared" si="2"/>
        <v>-1.848739496</v>
      </c>
      <c r="N226" s="32">
        <f t="shared" si="3"/>
        <v>-1.184433164</v>
      </c>
    </row>
    <row r="227">
      <c r="A227" s="42" t="s">
        <v>157</v>
      </c>
      <c r="B227" s="42">
        <v>30.0</v>
      </c>
      <c r="C227" s="42">
        <v>4.0</v>
      </c>
      <c r="D227" s="54">
        <v>591.0</v>
      </c>
      <c r="E227" s="54">
        <v>1199872.0</v>
      </c>
      <c r="F227" s="54">
        <v>594.0</v>
      </c>
      <c r="G227" s="54">
        <v>1080613.0</v>
      </c>
      <c r="H227" s="55">
        <v>591.0</v>
      </c>
      <c r="I227" s="54">
        <v>1210000.0</v>
      </c>
      <c r="J227" s="42">
        <v>584.0</v>
      </c>
      <c r="K227" s="42">
        <v>385821.0</v>
      </c>
      <c r="L227" s="32">
        <f t="shared" si="1"/>
        <v>-1.184433164</v>
      </c>
      <c r="M227" s="32">
        <f t="shared" si="2"/>
        <v>-1.683501684</v>
      </c>
      <c r="N227" s="32">
        <f t="shared" si="3"/>
        <v>-1.184433164</v>
      </c>
    </row>
    <row r="228">
      <c r="A228" s="42" t="s">
        <v>157</v>
      </c>
      <c r="B228" s="42">
        <v>30.0</v>
      </c>
      <c r="C228" s="42">
        <v>5.0</v>
      </c>
      <c r="D228" s="54">
        <v>590.0</v>
      </c>
      <c r="E228" s="54">
        <v>1201022.0</v>
      </c>
      <c r="F228" s="54">
        <v>594.0</v>
      </c>
      <c r="G228" s="54">
        <v>1200488.0</v>
      </c>
      <c r="H228" s="55">
        <v>591.0</v>
      </c>
      <c r="I228" s="54">
        <v>1210000.0</v>
      </c>
      <c r="J228" s="42">
        <v>585.0</v>
      </c>
      <c r="K228" s="42">
        <v>398941.0</v>
      </c>
      <c r="L228" s="32">
        <f t="shared" si="1"/>
        <v>-0.8474576271</v>
      </c>
      <c r="M228" s="32">
        <f t="shared" si="2"/>
        <v>-1.515151515</v>
      </c>
      <c r="N228" s="32">
        <f t="shared" si="3"/>
        <v>-1.015228426</v>
      </c>
    </row>
    <row r="229">
      <c r="A229" s="42" t="s">
        <v>157</v>
      </c>
      <c r="B229" s="42">
        <v>30.0</v>
      </c>
      <c r="C229" s="42">
        <v>6.0</v>
      </c>
      <c r="D229" s="54">
        <v>588.0</v>
      </c>
      <c r="E229" s="54">
        <v>1200294.0</v>
      </c>
      <c r="F229" s="54">
        <v>595.0</v>
      </c>
      <c r="G229" s="54">
        <v>1200132.0</v>
      </c>
      <c r="H229" s="55">
        <v>591.0</v>
      </c>
      <c r="I229" s="54">
        <v>1210000.0</v>
      </c>
      <c r="J229" s="42">
        <v>584.0</v>
      </c>
      <c r="K229" s="42">
        <v>406067.0</v>
      </c>
      <c r="L229" s="32">
        <f t="shared" si="1"/>
        <v>-0.6802721088</v>
      </c>
      <c r="M229" s="32">
        <f t="shared" si="2"/>
        <v>-1.848739496</v>
      </c>
      <c r="N229" s="32">
        <f t="shared" si="3"/>
        <v>-1.184433164</v>
      </c>
    </row>
    <row r="230">
      <c r="A230" s="42" t="s">
        <v>157</v>
      </c>
      <c r="B230" s="42">
        <v>30.0</v>
      </c>
      <c r="C230" s="42">
        <v>7.0</v>
      </c>
      <c r="D230" s="54">
        <v>590.0</v>
      </c>
      <c r="E230" s="54">
        <v>1200007.0</v>
      </c>
      <c r="F230" s="54">
        <v>594.0</v>
      </c>
      <c r="G230" s="54">
        <v>1200521.0</v>
      </c>
      <c r="H230" s="55">
        <v>591.0</v>
      </c>
      <c r="I230" s="54">
        <v>1210000.0</v>
      </c>
      <c r="J230" s="42">
        <v>586.0</v>
      </c>
      <c r="K230" s="42">
        <v>399450.0</v>
      </c>
      <c r="L230" s="32">
        <f t="shared" si="1"/>
        <v>-0.6779661017</v>
      </c>
      <c r="M230" s="32">
        <f t="shared" si="2"/>
        <v>-1.346801347</v>
      </c>
      <c r="N230" s="32">
        <f t="shared" si="3"/>
        <v>-0.8460236887</v>
      </c>
    </row>
    <row r="231">
      <c r="A231" s="42" t="s">
        <v>157</v>
      </c>
      <c r="B231" s="42">
        <v>30.0</v>
      </c>
      <c r="C231" s="42">
        <v>8.0</v>
      </c>
      <c r="D231" s="54">
        <v>590.0</v>
      </c>
      <c r="E231" s="54">
        <v>1200120.0</v>
      </c>
      <c r="F231" s="54">
        <v>594.0</v>
      </c>
      <c r="G231" s="54">
        <v>1200467.0</v>
      </c>
      <c r="H231" s="55">
        <v>591.0</v>
      </c>
      <c r="I231" s="54">
        <v>1210000.0</v>
      </c>
      <c r="J231" s="42">
        <v>585.0</v>
      </c>
      <c r="K231" s="42">
        <v>385570.0</v>
      </c>
      <c r="L231" s="32">
        <f t="shared" si="1"/>
        <v>-0.8474576271</v>
      </c>
      <c r="M231" s="32">
        <f t="shared" si="2"/>
        <v>-1.515151515</v>
      </c>
      <c r="N231" s="32">
        <f t="shared" si="3"/>
        <v>-1.015228426</v>
      </c>
    </row>
    <row r="232">
      <c r="A232" s="42" t="s">
        <v>157</v>
      </c>
      <c r="B232" s="42">
        <v>30.0</v>
      </c>
      <c r="C232" s="42">
        <v>9.0</v>
      </c>
      <c r="D232" s="54">
        <v>589.0</v>
      </c>
      <c r="E232" s="54">
        <v>1200974.0</v>
      </c>
      <c r="F232" s="54">
        <v>594.0</v>
      </c>
      <c r="G232" s="54">
        <v>1200108.0</v>
      </c>
      <c r="H232" s="55">
        <v>591.0</v>
      </c>
      <c r="I232" s="54">
        <v>1210000.0</v>
      </c>
      <c r="J232" s="42">
        <v>585.0</v>
      </c>
      <c r="K232" s="42">
        <v>378815.0</v>
      </c>
      <c r="L232" s="32">
        <f t="shared" si="1"/>
        <v>-0.6791171477</v>
      </c>
      <c r="M232" s="32">
        <f t="shared" si="2"/>
        <v>-1.515151515</v>
      </c>
      <c r="N232" s="32">
        <f t="shared" si="3"/>
        <v>-1.015228426</v>
      </c>
    </row>
    <row r="233">
      <c r="A233" s="42" t="s">
        <v>157</v>
      </c>
      <c r="B233" s="42">
        <v>30.0</v>
      </c>
      <c r="C233" s="42">
        <v>10.0</v>
      </c>
      <c r="D233" s="54">
        <v>589.0</v>
      </c>
      <c r="E233" s="54">
        <v>1200502.0</v>
      </c>
      <c r="F233" s="54">
        <v>595.0</v>
      </c>
      <c r="G233" s="54">
        <v>1200520.0</v>
      </c>
      <c r="H233" s="55">
        <v>591.0</v>
      </c>
      <c r="I233" s="54">
        <v>1210000.0</v>
      </c>
      <c r="J233" s="42">
        <v>584.0</v>
      </c>
      <c r="K233" s="42">
        <v>387211.0</v>
      </c>
      <c r="L233" s="32">
        <f t="shared" si="1"/>
        <v>-0.8488964346</v>
      </c>
      <c r="M233" s="32">
        <f t="shared" si="2"/>
        <v>-1.848739496</v>
      </c>
      <c r="N233" s="32">
        <f t="shared" si="3"/>
        <v>-1.184433164</v>
      </c>
    </row>
    <row r="234">
      <c r="A234" s="42" t="s">
        <v>157</v>
      </c>
      <c r="B234" s="42">
        <v>34.0</v>
      </c>
      <c r="C234" s="42">
        <v>1.0</v>
      </c>
      <c r="D234" s="54">
        <v>592.0</v>
      </c>
      <c r="E234" s="54">
        <v>1200020.0</v>
      </c>
      <c r="F234" s="54">
        <v>596.0</v>
      </c>
      <c r="G234" s="54">
        <v>1080408.0</v>
      </c>
      <c r="H234" s="55">
        <v>593.0</v>
      </c>
      <c r="I234" s="54">
        <v>1210000.0</v>
      </c>
      <c r="J234" s="42">
        <v>588.0</v>
      </c>
      <c r="K234" s="42">
        <v>427746.0</v>
      </c>
      <c r="L234" s="32">
        <f t="shared" si="1"/>
        <v>-0.6756756757</v>
      </c>
      <c r="M234" s="32">
        <f t="shared" si="2"/>
        <v>-1.342281879</v>
      </c>
      <c r="N234" s="32">
        <f t="shared" si="3"/>
        <v>-0.8431703204</v>
      </c>
    </row>
    <row r="235">
      <c r="A235" s="42" t="s">
        <v>157</v>
      </c>
      <c r="B235" s="42">
        <v>34.0</v>
      </c>
      <c r="C235" s="42">
        <v>2.0</v>
      </c>
      <c r="D235" s="54">
        <v>593.0</v>
      </c>
      <c r="E235" s="54">
        <v>1200404.0</v>
      </c>
      <c r="F235" s="54">
        <v>595.0</v>
      </c>
      <c r="G235" s="54">
        <v>1200507.0</v>
      </c>
      <c r="H235" s="55">
        <v>593.0</v>
      </c>
      <c r="I235" s="54">
        <v>1210000.0</v>
      </c>
      <c r="J235" s="42">
        <v>589.0</v>
      </c>
      <c r="K235" s="42">
        <v>429961.0</v>
      </c>
      <c r="L235" s="32">
        <f t="shared" si="1"/>
        <v>-0.6745362563</v>
      </c>
      <c r="M235" s="32">
        <f t="shared" si="2"/>
        <v>-1.008403361</v>
      </c>
      <c r="N235" s="32">
        <f t="shared" si="3"/>
        <v>-0.6745362563</v>
      </c>
    </row>
    <row r="236">
      <c r="A236" s="42" t="s">
        <v>157</v>
      </c>
      <c r="B236" s="42">
        <v>34.0</v>
      </c>
      <c r="C236" s="42">
        <v>3.0</v>
      </c>
      <c r="D236" s="54">
        <v>594.0</v>
      </c>
      <c r="E236" s="54">
        <v>1200575.0</v>
      </c>
      <c r="F236" s="54">
        <v>596.0</v>
      </c>
      <c r="G236" s="54">
        <v>1080785.0</v>
      </c>
      <c r="H236" s="55">
        <v>592.0</v>
      </c>
      <c r="I236" s="54">
        <v>1210000.0</v>
      </c>
      <c r="J236" s="42">
        <v>587.0</v>
      </c>
      <c r="K236" s="42">
        <v>420637.0</v>
      </c>
      <c r="L236" s="32">
        <f t="shared" si="1"/>
        <v>-1.178451178</v>
      </c>
      <c r="M236" s="32">
        <f t="shared" si="2"/>
        <v>-1.510067114</v>
      </c>
      <c r="N236" s="32">
        <f t="shared" si="3"/>
        <v>-0.8445945946</v>
      </c>
    </row>
    <row r="237">
      <c r="A237" s="42" t="s">
        <v>157</v>
      </c>
      <c r="B237" s="42">
        <v>34.0</v>
      </c>
      <c r="C237" s="42">
        <v>4.0</v>
      </c>
      <c r="D237" s="54">
        <v>593.0</v>
      </c>
      <c r="E237" s="54">
        <v>1200545.0</v>
      </c>
      <c r="F237" s="54">
        <v>595.0</v>
      </c>
      <c r="G237" s="54">
        <v>1080527.0</v>
      </c>
      <c r="H237" s="55">
        <v>593.0</v>
      </c>
      <c r="I237" s="54">
        <v>1210000.0</v>
      </c>
      <c r="J237" s="42">
        <v>589.0</v>
      </c>
      <c r="K237" s="42">
        <v>430675.0</v>
      </c>
      <c r="L237" s="32">
        <f t="shared" si="1"/>
        <v>-0.6745362563</v>
      </c>
      <c r="M237" s="32">
        <f t="shared" si="2"/>
        <v>-1.008403361</v>
      </c>
      <c r="N237" s="32">
        <f t="shared" si="3"/>
        <v>-0.6745362563</v>
      </c>
    </row>
    <row r="238">
      <c r="A238" s="42" t="s">
        <v>157</v>
      </c>
      <c r="B238" s="42">
        <v>34.0</v>
      </c>
      <c r="C238" s="42">
        <v>5.0</v>
      </c>
      <c r="D238" s="54">
        <v>592.0</v>
      </c>
      <c r="E238" s="54">
        <v>1200417.0</v>
      </c>
      <c r="F238" s="54">
        <v>595.0</v>
      </c>
      <c r="G238" s="54">
        <v>1200508.0</v>
      </c>
      <c r="H238" s="55">
        <v>593.0</v>
      </c>
      <c r="I238" s="54">
        <v>1210000.0</v>
      </c>
      <c r="J238" s="42">
        <v>589.0</v>
      </c>
      <c r="K238" s="42">
        <v>440351.0</v>
      </c>
      <c r="L238" s="32">
        <f t="shared" si="1"/>
        <v>-0.5067567568</v>
      </c>
      <c r="M238" s="32">
        <f t="shared" si="2"/>
        <v>-1.008403361</v>
      </c>
      <c r="N238" s="32">
        <f t="shared" si="3"/>
        <v>-0.6745362563</v>
      </c>
    </row>
    <row r="239">
      <c r="A239" s="42" t="s">
        <v>157</v>
      </c>
      <c r="B239" s="42">
        <v>34.0</v>
      </c>
      <c r="C239" s="42">
        <v>6.0</v>
      </c>
      <c r="D239" s="54">
        <v>591.0</v>
      </c>
      <c r="E239" s="54">
        <v>1199954.0</v>
      </c>
      <c r="F239" s="54">
        <v>595.0</v>
      </c>
      <c r="G239" s="54">
        <v>1200583.0</v>
      </c>
      <c r="H239" s="55">
        <v>593.0</v>
      </c>
      <c r="I239" s="54">
        <v>1210000.0</v>
      </c>
      <c r="J239" s="42">
        <v>588.0</v>
      </c>
      <c r="K239" s="42">
        <v>431846.0</v>
      </c>
      <c r="L239" s="32">
        <f t="shared" si="1"/>
        <v>-0.5076142132</v>
      </c>
      <c r="M239" s="32">
        <f t="shared" si="2"/>
        <v>-1.176470588</v>
      </c>
      <c r="N239" s="32">
        <f t="shared" si="3"/>
        <v>-0.8431703204</v>
      </c>
    </row>
    <row r="240">
      <c r="A240" s="42" t="s">
        <v>157</v>
      </c>
      <c r="B240" s="42">
        <v>34.0</v>
      </c>
      <c r="C240" s="42">
        <v>7.0</v>
      </c>
      <c r="D240" s="54">
        <v>593.0</v>
      </c>
      <c r="E240" s="54">
        <v>1200679.0</v>
      </c>
      <c r="F240" s="54">
        <v>595.0</v>
      </c>
      <c r="G240" s="54">
        <v>1200397.0</v>
      </c>
      <c r="H240" s="55">
        <v>593.0</v>
      </c>
      <c r="I240" s="54">
        <v>1210000.0</v>
      </c>
      <c r="J240" s="42">
        <v>589.0</v>
      </c>
      <c r="K240" s="42">
        <v>425799.0</v>
      </c>
      <c r="L240" s="32">
        <f t="shared" si="1"/>
        <v>-0.6745362563</v>
      </c>
      <c r="M240" s="32">
        <f t="shared" si="2"/>
        <v>-1.008403361</v>
      </c>
      <c r="N240" s="32">
        <f t="shared" si="3"/>
        <v>-0.6745362563</v>
      </c>
    </row>
    <row r="241">
      <c r="A241" s="42" t="s">
        <v>157</v>
      </c>
      <c r="B241" s="42">
        <v>34.0</v>
      </c>
      <c r="C241" s="42">
        <v>8.0</v>
      </c>
      <c r="D241" s="54">
        <v>593.0</v>
      </c>
      <c r="E241" s="54">
        <v>1200633.0</v>
      </c>
      <c r="F241" s="54">
        <v>595.0</v>
      </c>
      <c r="G241" s="54">
        <v>1200481.0</v>
      </c>
      <c r="H241" s="55">
        <v>593.0</v>
      </c>
      <c r="I241" s="54">
        <v>1210000.0</v>
      </c>
      <c r="J241" s="42">
        <v>589.0</v>
      </c>
      <c r="K241" s="42">
        <v>434628.0</v>
      </c>
      <c r="L241" s="32">
        <f t="shared" si="1"/>
        <v>-0.6745362563</v>
      </c>
      <c r="M241" s="32">
        <f t="shared" si="2"/>
        <v>-1.008403361</v>
      </c>
      <c r="N241" s="32">
        <f t="shared" si="3"/>
        <v>-0.6745362563</v>
      </c>
    </row>
    <row r="242">
      <c r="A242" s="42" t="s">
        <v>157</v>
      </c>
      <c r="B242" s="42">
        <v>34.0</v>
      </c>
      <c r="C242" s="42">
        <v>9.0</v>
      </c>
      <c r="D242" s="54">
        <v>591.0</v>
      </c>
      <c r="E242" s="54">
        <v>1199834.0</v>
      </c>
      <c r="F242" s="54">
        <v>595.0</v>
      </c>
      <c r="G242" s="54">
        <v>1080379.0</v>
      </c>
      <c r="H242" s="55">
        <v>593.0</v>
      </c>
      <c r="I242" s="54">
        <v>1210000.0</v>
      </c>
      <c r="J242" s="42">
        <v>588.0</v>
      </c>
      <c r="K242" s="42">
        <v>425063.0</v>
      </c>
      <c r="L242" s="32">
        <f t="shared" si="1"/>
        <v>-0.5076142132</v>
      </c>
      <c r="M242" s="32">
        <f t="shared" si="2"/>
        <v>-1.176470588</v>
      </c>
      <c r="N242" s="32">
        <f t="shared" si="3"/>
        <v>-0.8431703204</v>
      </c>
    </row>
    <row r="243">
      <c r="A243" s="42" t="s">
        <v>157</v>
      </c>
      <c r="B243" s="42">
        <v>34.0</v>
      </c>
      <c r="C243" s="42">
        <v>10.0</v>
      </c>
      <c r="D243" s="54">
        <v>592.0</v>
      </c>
      <c r="E243" s="54">
        <v>1200693.0</v>
      </c>
      <c r="F243" s="54">
        <v>595.0</v>
      </c>
      <c r="G243" s="54">
        <v>1200140.0</v>
      </c>
      <c r="H243" s="55">
        <v>593.0</v>
      </c>
      <c r="I243" s="54">
        <v>1210000.0</v>
      </c>
      <c r="J243" s="42">
        <v>588.0</v>
      </c>
      <c r="K243" s="42">
        <v>431535.0</v>
      </c>
      <c r="L243" s="32">
        <f t="shared" si="1"/>
        <v>-0.6756756757</v>
      </c>
      <c r="M243" s="32">
        <f t="shared" si="2"/>
        <v>-1.176470588</v>
      </c>
      <c r="N243" s="32">
        <f t="shared" si="3"/>
        <v>-0.8431703204</v>
      </c>
    </row>
    <row r="244">
      <c r="A244" s="42" t="s">
        <v>157</v>
      </c>
      <c r="B244" s="42">
        <v>38.0</v>
      </c>
      <c r="C244" s="42">
        <v>1.0</v>
      </c>
      <c r="D244" s="54">
        <v>594.0</v>
      </c>
      <c r="E244" s="54">
        <v>1200622.0</v>
      </c>
      <c r="F244" s="54">
        <v>596.0</v>
      </c>
      <c r="G244" s="54">
        <v>1200542.0</v>
      </c>
      <c r="H244" s="55">
        <v>594.0</v>
      </c>
      <c r="I244" s="54">
        <v>1210000.0</v>
      </c>
      <c r="J244" s="42">
        <v>591.0</v>
      </c>
      <c r="K244" s="42">
        <v>475641.0</v>
      </c>
      <c r="L244" s="32">
        <f t="shared" si="1"/>
        <v>-0.5050505051</v>
      </c>
      <c r="M244" s="32">
        <f t="shared" si="2"/>
        <v>-0.8389261745</v>
      </c>
      <c r="N244" s="32">
        <f t="shared" si="3"/>
        <v>-0.5050505051</v>
      </c>
    </row>
    <row r="245">
      <c r="A245" s="42" t="s">
        <v>157</v>
      </c>
      <c r="B245" s="42">
        <v>38.0</v>
      </c>
      <c r="C245" s="42">
        <v>2.0</v>
      </c>
      <c r="D245" s="54">
        <v>591.0</v>
      </c>
      <c r="E245" s="54">
        <v>1200069.0</v>
      </c>
      <c r="F245" s="54">
        <v>596.0</v>
      </c>
      <c r="G245" s="54">
        <v>1080665.0</v>
      </c>
      <c r="H245" s="55">
        <v>594.0</v>
      </c>
      <c r="I245" s="54">
        <v>1210000.0</v>
      </c>
      <c r="J245" s="42">
        <v>590.0</v>
      </c>
      <c r="K245" s="42">
        <v>469468.0</v>
      </c>
      <c r="L245" s="32">
        <f t="shared" si="1"/>
        <v>-0.1692047377</v>
      </c>
      <c r="M245" s="32">
        <f t="shared" si="2"/>
        <v>-1.006711409</v>
      </c>
      <c r="N245" s="32">
        <f t="shared" si="3"/>
        <v>-0.6734006734</v>
      </c>
    </row>
    <row r="246">
      <c r="A246" s="42" t="s">
        <v>157</v>
      </c>
      <c r="B246" s="42">
        <v>38.0</v>
      </c>
      <c r="C246" s="42">
        <v>3.0</v>
      </c>
      <c r="D246" s="54">
        <v>593.0</v>
      </c>
      <c r="E246" s="54">
        <v>1200695.0</v>
      </c>
      <c r="F246" s="54">
        <v>596.0</v>
      </c>
      <c r="G246" s="54">
        <v>1200099.0</v>
      </c>
      <c r="H246" s="55">
        <v>594.0</v>
      </c>
      <c r="I246" s="54">
        <v>1210000.0</v>
      </c>
      <c r="J246" s="42">
        <v>591.0</v>
      </c>
      <c r="K246" s="42">
        <v>467208.0</v>
      </c>
      <c r="L246" s="32">
        <f t="shared" si="1"/>
        <v>-0.3372681282</v>
      </c>
      <c r="M246" s="32">
        <f t="shared" si="2"/>
        <v>-0.8389261745</v>
      </c>
      <c r="N246" s="32">
        <f t="shared" si="3"/>
        <v>-0.5050505051</v>
      </c>
    </row>
    <row r="247">
      <c r="A247" s="42" t="s">
        <v>157</v>
      </c>
      <c r="B247" s="42">
        <v>38.0</v>
      </c>
      <c r="C247" s="42">
        <v>4.0</v>
      </c>
      <c r="D247" s="54">
        <v>594.0</v>
      </c>
      <c r="E247" s="54">
        <v>1200508.0</v>
      </c>
      <c r="F247" s="54">
        <v>596.0</v>
      </c>
      <c r="G247" s="54">
        <v>1200146.0</v>
      </c>
      <c r="H247" s="55">
        <v>594.0</v>
      </c>
      <c r="I247" s="54">
        <v>1210000.0</v>
      </c>
      <c r="J247" s="42">
        <v>591.0</v>
      </c>
      <c r="K247" s="42">
        <v>463516.0</v>
      </c>
      <c r="L247" s="32">
        <f t="shared" si="1"/>
        <v>-0.5050505051</v>
      </c>
      <c r="M247" s="32">
        <f t="shared" si="2"/>
        <v>-0.8389261745</v>
      </c>
      <c r="N247" s="32">
        <f t="shared" si="3"/>
        <v>-0.5050505051</v>
      </c>
    </row>
    <row r="248">
      <c r="A248" s="42" t="s">
        <v>157</v>
      </c>
      <c r="B248" s="42">
        <v>38.0</v>
      </c>
      <c r="C248" s="42">
        <v>5.0</v>
      </c>
      <c r="D248" s="54">
        <v>594.0</v>
      </c>
      <c r="E248" s="54">
        <v>1200542.0</v>
      </c>
      <c r="F248" s="54">
        <v>596.0</v>
      </c>
      <c r="G248" s="54">
        <v>1200403.0</v>
      </c>
      <c r="H248" s="55">
        <v>594.0</v>
      </c>
      <c r="I248" s="54">
        <v>1210000.0</v>
      </c>
      <c r="J248" s="42">
        <v>591.0</v>
      </c>
      <c r="K248" s="42">
        <v>464557.0</v>
      </c>
      <c r="L248" s="32">
        <f t="shared" si="1"/>
        <v>-0.5050505051</v>
      </c>
      <c r="M248" s="32">
        <f t="shared" si="2"/>
        <v>-0.8389261745</v>
      </c>
      <c r="N248" s="32">
        <f t="shared" si="3"/>
        <v>-0.5050505051</v>
      </c>
    </row>
    <row r="249">
      <c r="A249" s="42" t="s">
        <v>157</v>
      </c>
      <c r="B249" s="42">
        <v>38.0</v>
      </c>
      <c r="C249" s="42">
        <v>6.0</v>
      </c>
      <c r="D249" s="54">
        <v>595.0</v>
      </c>
      <c r="E249" s="54">
        <v>1200578.0</v>
      </c>
      <c r="F249" s="54">
        <v>596.0</v>
      </c>
      <c r="G249" s="54">
        <v>1200461.0</v>
      </c>
      <c r="H249" s="55">
        <v>595.0</v>
      </c>
      <c r="I249" s="54">
        <v>1210000.0</v>
      </c>
      <c r="J249" s="42">
        <v>591.0</v>
      </c>
      <c r="K249" s="42">
        <v>464402.0</v>
      </c>
      <c r="L249" s="32">
        <f t="shared" si="1"/>
        <v>-0.6722689076</v>
      </c>
      <c r="M249" s="32">
        <f t="shared" si="2"/>
        <v>-0.8389261745</v>
      </c>
      <c r="N249" s="32">
        <f t="shared" si="3"/>
        <v>-0.6722689076</v>
      </c>
    </row>
    <row r="250">
      <c r="A250" s="42" t="s">
        <v>157</v>
      </c>
      <c r="B250" s="42">
        <v>38.0</v>
      </c>
      <c r="C250" s="42">
        <v>7.0</v>
      </c>
      <c r="D250" s="54">
        <v>595.0</v>
      </c>
      <c r="E250" s="54">
        <v>1200529.0</v>
      </c>
      <c r="F250" s="54">
        <v>597.0</v>
      </c>
      <c r="G250" s="54">
        <v>1080703.0</v>
      </c>
      <c r="H250" s="55">
        <v>594.0</v>
      </c>
      <c r="I250" s="54">
        <v>1210000.0</v>
      </c>
      <c r="J250" s="42">
        <v>591.0</v>
      </c>
      <c r="K250" s="42">
        <v>474359.0</v>
      </c>
      <c r="L250" s="32">
        <f t="shared" si="1"/>
        <v>-0.6722689076</v>
      </c>
      <c r="M250" s="32">
        <f t="shared" si="2"/>
        <v>-1.005025126</v>
      </c>
      <c r="N250" s="32">
        <f t="shared" si="3"/>
        <v>-0.5050505051</v>
      </c>
    </row>
    <row r="251">
      <c r="A251" s="42" t="s">
        <v>157</v>
      </c>
      <c r="B251" s="42">
        <v>38.0</v>
      </c>
      <c r="C251" s="42">
        <v>8.0</v>
      </c>
      <c r="D251" s="54">
        <v>594.0</v>
      </c>
      <c r="E251" s="54">
        <v>1200177.0</v>
      </c>
      <c r="F251" s="54">
        <v>596.0</v>
      </c>
      <c r="G251" s="54">
        <v>1080461.0</v>
      </c>
      <c r="H251" s="55">
        <v>594.0</v>
      </c>
      <c r="I251" s="54">
        <v>1210000.0</v>
      </c>
      <c r="J251" s="42">
        <v>591.0</v>
      </c>
      <c r="K251" s="42">
        <v>464599.0</v>
      </c>
      <c r="L251" s="32">
        <f t="shared" si="1"/>
        <v>-0.5050505051</v>
      </c>
      <c r="M251" s="32">
        <f t="shared" si="2"/>
        <v>-0.8389261745</v>
      </c>
      <c r="N251" s="32">
        <f t="shared" si="3"/>
        <v>-0.5050505051</v>
      </c>
    </row>
    <row r="252">
      <c r="A252" s="42" t="s">
        <v>157</v>
      </c>
      <c r="B252" s="42">
        <v>38.0</v>
      </c>
      <c r="C252" s="42">
        <v>9.0</v>
      </c>
      <c r="D252" s="54">
        <v>593.0</v>
      </c>
      <c r="E252" s="54">
        <v>1200048.0</v>
      </c>
      <c r="F252" s="54">
        <v>596.0</v>
      </c>
      <c r="G252" s="54">
        <v>1200415.0</v>
      </c>
      <c r="H252" s="55">
        <v>594.0</v>
      </c>
      <c r="I252" s="54">
        <v>1210000.0</v>
      </c>
      <c r="J252" s="42">
        <v>591.0</v>
      </c>
      <c r="K252" s="42">
        <v>481512.0</v>
      </c>
      <c r="L252" s="32">
        <f t="shared" si="1"/>
        <v>-0.3372681282</v>
      </c>
      <c r="M252" s="32">
        <f t="shared" si="2"/>
        <v>-0.8389261745</v>
      </c>
      <c r="N252" s="32">
        <f t="shared" si="3"/>
        <v>-0.5050505051</v>
      </c>
    </row>
    <row r="253">
      <c r="A253" s="42" t="s">
        <v>157</v>
      </c>
      <c r="B253" s="42">
        <v>38.0</v>
      </c>
      <c r="C253" s="42">
        <v>10.0</v>
      </c>
      <c r="D253" s="54">
        <v>594.0</v>
      </c>
      <c r="E253" s="54">
        <v>1201228.0</v>
      </c>
      <c r="F253" s="54">
        <v>596.0</v>
      </c>
      <c r="G253" s="54">
        <v>1200608.0</v>
      </c>
      <c r="H253" s="55">
        <v>594.0</v>
      </c>
      <c r="I253" s="54">
        <v>1210000.0</v>
      </c>
      <c r="J253" s="42">
        <v>591.0</v>
      </c>
      <c r="K253" s="42">
        <v>468248.0</v>
      </c>
      <c r="L253" s="32">
        <f t="shared" si="1"/>
        <v>-0.5050505051</v>
      </c>
      <c r="M253" s="32">
        <f t="shared" si="2"/>
        <v>-0.8389261745</v>
      </c>
      <c r="N253" s="32">
        <f t="shared" si="3"/>
        <v>-0.5050505051</v>
      </c>
    </row>
    <row r="254">
      <c r="A254" s="42" t="s">
        <v>157</v>
      </c>
      <c r="B254" s="42">
        <v>40.0</v>
      </c>
      <c r="C254" s="42">
        <v>1.0</v>
      </c>
      <c r="D254" s="54">
        <v>595.0</v>
      </c>
      <c r="E254" s="54">
        <v>1201111.0</v>
      </c>
      <c r="F254" s="54">
        <v>596.0</v>
      </c>
      <c r="G254" s="54">
        <v>1080407.0</v>
      </c>
      <c r="H254" s="55">
        <v>595.0</v>
      </c>
      <c r="I254" s="54">
        <v>1210000.0</v>
      </c>
      <c r="J254" s="42">
        <v>592.0</v>
      </c>
      <c r="K254" s="42">
        <v>484079.0</v>
      </c>
      <c r="L254" s="32">
        <f t="shared" si="1"/>
        <v>-0.5042016807</v>
      </c>
      <c r="M254" s="32">
        <f t="shared" si="2"/>
        <v>-0.6711409396</v>
      </c>
      <c r="N254" s="32">
        <f t="shared" si="3"/>
        <v>-0.5042016807</v>
      </c>
    </row>
    <row r="255">
      <c r="A255" s="42" t="s">
        <v>157</v>
      </c>
      <c r="B255" s="42">
        <v>40.0</v>
      </c>
      <c r="C255" s="42">
        <v>2.0</v>
      </c>
      <c r="D255" s="54">
        <v>595.0</v>
      </c>
      <c r="E255" s="54">
        <v>1200257.0</v>
      </c>
      <c r="F255" s="54">
        <v>596.0</v>
      </c>
      <c r="G255" s="54">
        <v>1080606.0</v>
      </c>
      <c r="H255" s="55">
        <v>595.0</v>
      </c>
      <c r="I255" s="54">
        <v>1210000.0</v>
      </c>
      <c r="J255" s="42">
        <v>592.0</v>
      </c>
      <c r="K255" s="42">
        <v>485491.0</v>
      </c>
      <c r="L255" s="32">
        <f t="shared" si="1"/>
        <v>-0.5042016807</v>
      </c>
      <c r="M255" s="32">
        <f t="shared" si="2"/>
        <v>-0.6711409396</v>
      </c>
      <c r="N255" s="32">
        <f t="shared" si="3"/>
        <v>-0.5042016807</v>
      </c>
    </row>
    <row r="256">
      <c r="A256" s="42" t="s">
        <v>157</v>
      </c>
      <c r="B256" s="42">
        <v>40.0</v>
      </c>
      <c r="C256" s="42">
        <v>3.0</v>
      </c>
      <c r="D256" s="54">
        <v>595.0</v>
      </c>
      <c r="E256" s="54">
        <v>1200797.0</v>
      </c>
      <c r="F256" s="54">
        <v>597.0</v>
      </c>
      <c r="G256" s="54">
        <v>1200445.0</v>
      </c>
      <c r="H256" s="55">
        <v>594.0</v>
      </c>
      <c r="I256" s="54">
        <v>1210000.0</v>
      </c>
      <c r="J256" s="42">
        <v>592.0</v>
      </c>
      <c r="K256" s="42">
        <v>505097.0</v>
      </c>
      <c r="L256" s="32">
        <f t="shared" si="1"/>
        <v>-0.5042016807</v>
      </c>
      <c r="M256" s="32">
        <f t="shared" si="2"/>
        <v>-0.837520938</v>
      </c>
      <c r="N256" s="32">
        <f t="shared" si="3"/>
        <v>-0.3367003367</v>
      </c>
    </row>
    <row r="257">
      <c r="A257" s="42" t="s">
        <v>157</v>
      </c>
      <c r="B257" s="42">
        <v>40.0</v>
      </c>
      <c r="C257" s="42">
        <v>4.0</v>
      </c>
      <c r="D257" s="54">
        <v>594.0</v>
      </c>
      <c r="E257" s="54">
        <v>1200078.0</v>
      </c>
      <c r="F257" s="54">
        <v>596.0</v>
      </c>
      <c r="G257" s="54">
        <v>1200595.0</v>
      </c>
      <c r="H257" s="55">
        <v>595.0</v>
      </c>
      <c r="I257" s="54">
        <v>1210000.0</v>
      </c>
      <c r="J257" s="42">
        <v>592.0</v>
      </c>
      <c r="K257" s="42">
        <v>487378.0</v>
      </c>
      <c r="L257" s="32">
        <f t="shared" si="1"/>
        <v>-0.3367003367</v>
      </c>
      <c r="M257" s="32">
        <f t="shared" si="2"/>
        <v>-0.6711409396</v>
      </c>
      <c r="N257" s="32">
        <f t="shared" si="3"/>
        <v>-0.5042016807</v>
      </c>
    </row>
    <row r="258">
      <c r="A258" s="42" t="s">
        <v>157</v>
      </c>
      <c r="B258" s="42">
        <v>40.0</v>
      </c>
      <c r="C258" s="42">
        <v>5.0</v>
      </c>
      <c r="D258" s="54">
        <v>595.0</v>
      </c>
      <c r="E258" s="54">
        <v>1200589.0</v>
      </c>
      <c r="F258" s="54">
        <v>597.0</v>
      </c>
      <c r="G258" s="54">
        <v>1080440.0</v>
      </c>
      <c r="H258" s="55">
        <v>595.0</v>
      </c>
      <c r="I258" s="54">
        <v>1210000.0</v>
      </c>
      <c r="J258" s="42">
        <v>592.0</v>
      </c>
      <c r="K258" s="42">
        <v>492447.0</v>
      </c>
      <c r="L258" s="32">
        <f t="shared" si="1"/>
        <v>-0.5042016807</v>
      </c>
      <c r="M258" s="32">
        <f t="shared" si="2"/>
        <v>-0.837520938</v>
      </c>
      <c r="N258" s="32">
        <f t="shared" si="3"/>
        <v>-0.5042016807</v>
      </c>
    </row>
    <row r="259">
      <c r="A259" s="42" t="s">
        <v>157</v>
      </c>
      <c r="B259" s="42">
        <v>40.0</v>
      </c>
      <c r="C259" s="42">
        <v>6.0</v>
      </c>
      <c r="D259" s="54">
        <v>594.0</v>
      </c>
      <c r="E259" s="54">
        <v>1200793.0</v>
      </c>
      <c r="F259" s="54">
        <v>597.0</v>
      </c>
      <c r="G259" s="54">
        <v>1080455.0</v>
      </c>
      <c r="H259" s="55">
        <v>595.0</v>
      </c>
      <c r="I259" s="54">
        <v>1210000.0</v>
      </c>
      <c r="J259" s="42">
        <v>592.0</v>
      </c>
      <c r="K259" s="42">
        <v>500741.0</v>
      </c>
      <c r="L259" s="32">
        <f t="shared" si="1"/>
        <v>-0.3367003367</v>
      </c>
      <c r="M259" s="32">
        <f t="shared" si="2"/>
        <v>-0.837520938</v>
      </c>
      <c r="N259" s="32">
        <f t="shared" si="3"/>
        <v>-0.5042016807</v>
      </c>
    </row>
    <row r="260">
      <c r="A260" s="42" t="s">
        <v>157</v>
      </c>
      <c r="B260" s="42">
        <v>40.0</v>
      </c>
      <c r="C260" s="42">
        <v>7.0</v>
      </c>
      <c r="D260" s="54">
        <v>594.0</v>
      </c>
      <c r="E260" s="54">
        <v>1200899.0</v>
      </c>
      <c r="F260" s="54">
        <v>597.0</v>
      </c>
      <c r="G260" s="54">
        <v>1200079.0</v>
      </c>
      <c r="H260" s="55">
        <v>595.0</v>
      </c>
      <c r="I260" s="54">
        <v>1210000.0</v>
      </c>
      <c r="J260" s="42">
        <v>592.0</v>
      </c>
      <c r="K260" s="42">
        <v>491501.0</v>
      </c>
      <c r="L260" s="32">
        <f t="shared" si="1"/>
        <v>-0.3367003367</v>
      </c>
      <c r="M260" s="32">
        <f t="shared" si="2"/>
        <v>-0.837520938</v>
      </c>
      <c r="N260" s="32">
        <f t="shared" si="3"/>
        <v>-0.5042016807</v>
      </c>
    </row>
    <row r="261">
      <c r="A261" s="42" t="s">
        <v>157</v>
      </c>
      <c r="B261" s="42">
        <v>40.0</v>
      </c>
      <c r="C261" s="42">
        <v>8.0</v>
      </c>
      <c r="D261" s="54">
        <v>595.0</v>
      </c>
      <c r="E261" s="54">
        <v>1201133.0</v>
      </c>
      <c r="F261" s="54">
        <v>596.0</v>
      </c>
      <c r="G261" s="54">
        <v>1200514.0</v>
      </c>
      <c r="H261" s="55">
        <v>595.0</v>
      </c>
      <c r="I261" s="54">
        <v>1210000.0</v>
      </c>
      <c r="J261" s="42">
        <v>592.0</v>
      </c>
      <c r="K261" s="42">
        <v>484490.0</v>
      </c>
      <c r="L261" s="32">
        <f t="shared" si="1"/>
        <v>-0.5042016807</v>
      </c>
      <c r="M261" s="32">
        <f t="shared" si="2"/>
        <v>-0.6711409396</v>
      </c>
      <c r="N261" s="32">
        <f t="shared" si="3"/>
        <v>-0.5042016807</v>
      </c>
    </row>
    <row r="262">
      <c r="A262" s="42" t="s">
        <v>157</v>
      </c>
      <c r="B262" s="42">
        <v>40.0</v>
      </c>
      <c r="C262" s="42">
        <v>9.0</v>
      </c>
      <c r="D262" s="54">
        <v>594.0</v>
      </c>
      <c r="E262" s="54">
        <v>1200046.0</v>
      </c>
      <c r="F262" s="54">
        <v>597.0</v>
      </c>
      <c r="G262" s="54">
        <v>1200518.0</v>
      </c>
      <c r="H262" s="55">
        <v>595.0</v>
      </c>
      <c r="I262" s="54">
        <v>1210000.0</v>
      </c>
      <c r="J262" s="42">
        <v>592.0</v>
      </c>
      <c r="K262" s="42">
        <v>497879.0</v>
      </c>
      <c r="L262" s="32">
        <f t="shared" si="1"/>
        <v>-0.3367003367</v>
      </c>
      <c r="M262" s="32">
        <f t="shared" si="2"/>
        <v>-0.837520938</v>
      </c>
      <c r="N262" s="32">
        <f t="shared" si="3"/>
        <v>-0.5042016807</v>
      </c>
    </row>
    <row r="263">
      <c r="A263" s="42" t="s">
        <v>157</v>
      </c>
      <c r="B263" s="42">
        <v>40.0</v>
      </c>
      <c r="C263" s="42">
        <v>10.0</v>
      </c>
      <c r="D263" s="54">
        <v>595.0</v>
      </c>
      <c r="E263" s="54">
        <v>1200262.0</v>
      </c>
      <c r="F263" s="54">
        <v>597.0</v>
      </c>
      <c r="G263" s="54">
        <v>1200154.0</v>
      </c>
      <c r="H263" s="55">
        <v>595.0</v>
      </c>
      <c r="I263" s="54">
        <v>1210000.0</v>
      </c>
      <c r="J263" s="42">
        <v>592.0</v>
      </c>
      <c r="K263" s="42">
        <v>496378.0</v>
      </c>
      <c r="L263" s="32">
        <f t="shared" si="1"/>
        <v>-0.5042016807</v>
      </c>
      <c r="M263" s="32">
        <f t="shared" si="2"/>
        <v>-0.837520938</v>
      </c>
      <c r="N263" s="32">
        <f t="shared" si="3"/>
        <v>-0.5042016807</v>
      </c>
    </row>
    <row r="264">
      <c r="A264" s="42" t="s">
        <v>158</v>
      </c>
      <c r="B264" s="42">
        <v>2.0</v>
      </c>
      <c r="C264" s="42">
        <v>1.0</v>
      </c>
      <c r="D264" s="54">
        <v>213.0</v>
      </c>
      <c r="E264" s="54">
        <v>1201123.0</v>
      </c>
      <c r="F264" s="54">
        <v>239.0</v>
      </c>
      <c r="G264" s="54">
        <v>1201395.0</v>
      </c>
      <c r="H264" s="55">
        <v>284.0</v>
      </c>
      <c r="I264" s="54">
        <v>1211000.0</v>
      </c>
      <c r="J264" s="42">
        <v>128.0</v>
      </c>
      <c r="K264" s="42">
        <v>111556.0</v>
      </c>
      <c r="L264" s="32">
        <f t="shared" si="1"/>
        <v>-39.90610329</v>
      </c>
      <c r="M264" s="32">
        <f t="shared" si="2"/>
        <v>-46.44351464</v>
      </c>
      <c r="N264" s="32">
        <f t="shared" si="3"/>
        <v>-54.92957746</v>
      </c>
    </row>
    <row r="265">
      <c r="A265" s="42" t="s">
        <v>158</v>
      </c>
      <c r="B265" s="42">
        <v>2.0</v>
      </c>
      <c r="C265" s="42">
        <v>2.0</v>
      </c>
      <c r="D265" s="54">
        <v>225.0</v>
      </c>
      <c r="E265" s="54">
        <v>1202944.0</v>
      </c>
      <c r="F265" s="54">
        <v>255.0</v>
      </c>
      <c r="G265" s="54">
        <v>1200972.0</v>
      </c>
      <c r="H265" s="55">
        <v>286.0</v>
      </c>
      <c r="I265" s="54">
        <v>1211000.0</v>
      </c>
      <c r="J265" s="42">
        <v>130.0</v>
      </c>
      <c r="K265" s="42">
        <v>119306.0</v>
      </c>
      <c r="L265" s="32">
        <f t="shared" si="1"/>
        <v>-42.22222222</v>
      </c>
      <c r="M265" s="32">
        <f t="shared" si="2"/>
        <v>-49.01960784</v>
      </c>
      <c r="N265" s="32">
        <f t="shared" si="3"/>
        <v>-54.54545455</v>
      </c>
    </row>
    <row r="266">
      <c r="A266" s="42" t="s">
        <v>158</v>
      </c>
      <c r="B266" s="42">
        <v>2.0</v>
      </c>
      <c r="C266" s="42">
        <v>3.0</v>
      </c>
      <c r="D266" s="54">
        <v>231.0</v>
      </c>
      <c r="E266" s="54">
        <v>1199920.0</v>
      </c>
      <c r="F266" s="54">
        <v>268.0</v>
      </c>
      <c r="G266" s="54">
        <v>1201160.0</v>
      </c>
      <c r="H266" s="55">
        <v>291.0</v>
      </c>
      <c r="I266" s="54">
        <v>1211000.0</v>
      </c>
      <c r="J266" s="42">
        <v>140.0</v>
      </c>
      <c r="K266" s="42">
        <v>116995.0</v>
      </c>
      <c r="L266" s="32">
        <f t="shared" si="1"/>
        <v>-39.39393939</v>
      </c>
      <c r="M266" s="32">
        <f t="shared" si="2"/>
        <v>-47.76119403</v>
      </c>
      <c r="N266" s="32">
        <f t="shared" si="3"/>
        <v>-51.89003436</v>
      </c>
    </row>
    <row r="267">
      <c r="A267" s="42" t="s">
        <v>158</v>
      </c>
      <c r="B267" s="42">
        <v>2.0</v>
      </c>
      <c r="C267" s="42">
        <v>4.0</v>
      </c>
      <c r="D267" s="54">
        <v>232.0</v>
      </c>
      <c r="E267" s="54">
        <v>1201864.0</v>
      </c>
      <c r="F267" s="54">
        <v>261.0</v>
      </c>
      <c r="G267" s="54">
        <v>1200375.0</v>
      </c>
      <c r="H267" s="55">
        <v>289.0</v>
      </c>
      <c r="I267" s="54">
        <v>1211000.0</v>
      </c>
      <c r="J267" s="42">
        <v>140.0</v>
      </c>
      <c r="K267" s="42">
        <v>119733.0</v>
      </c>
      <c r="L267" s="32">
        <f t="shared" si="1"/>
        <v>-39.65517241</v>
      </c>
      <c r="M267" s="32">
        <f t="shared" si="2"/>
        <v>-46.36015326</v>
      </c>
      <c r="N267" s="32">
        <f t="shared" si="3"/>
        <v>-51.55709343</v>
      </c>
    </row>
    <row r="268">
      <c r="A268" s="42" t="s">
        <v>158</v>
      </c>
      <c r="B268" s="42">
        <v>2.0</v>
      </c>
      <c r="C268" s="42">
        <v>5.0</v>
      </c>
      <c r="D268" s="54">
        <v>237.0</v>
      </c>
      <c r="E268" s="54">
        <v>1202170.0</v>
      </c>
      <c r="F268" s="54">
        <v>274.0</v>
      </c>
      <c r="G268" s="54">
        <v>1200581.0</v>
      </c>
      <c r="H268" s="55">
        <v>301.0</v>
      </c>
      <c r="I268" s="54">
        <v>1211000.0</v>
      </c>
      <c r="J268" s="42">
        <v>145.0</v>
      </c>
      <c r="K268" s="42">
        <v>118947.0</v>
      </c>
      <c r="L268" s="32">
        <f t="shared" si="1"/>
        <v>-38.8185654</v>
      </c>
      <c r="M268" s="32">
        <f t="shared" si="2"/>
        <v>-47.08029197</v>
      </c>
      <c r="N268" s="32">
        <f t="shared" si="3"/>
        <v>-51.82724252</v>
      </c>
    </row>
    <row r="269">
      <c r="A269" s="42" t="s">
        <v>158</v>
      </c>
      <c r="B269" s="42">
        <v>2.0</v>
      </c>
      <c r="C269" s="42">
        <v>6.0</v>
      </c>
      <c r="D269" s="54">
        <v>223.0</v>
      </c>
      <c r="E269" s="54">
        <v>1203147.0</v>
      </c>
      <c r="F269" s="54">
        <v>262.0</v>
      </c>
      <c r="G269" s="54">
        <v>1081210.0</v>
      </c>
      <c r="H269" s="55">
        <v>294.0</v>
      </c>
      <c r="I269" s="54">
        <v>1211000.0</v>
      </c>
      <c r="J269" s="42">
        <v>131.0</v>
      </c>
      <c r="K269" s="42">
        <v>119852.0</v>
      </c>
      <c r="L269" s="32">
        <f t="shared" si="1"/>
        <v>-41.25560538</v>
      </c>
      <c r="M269" s="32">
        <f t="shared" si="2"/>
        <v>-50</v>
      </c>
      <c r="N269" s="32">
        <f t="shared" si="3"/>
        <v>-55.44217687</v>
      </c>
    </row>
    <row r="270">
      <c r="A270" s="42" t="s">
        <v>158</v>
      </c>
      <c r="B270" s="42">
        <v>2.0</v>
      </c>
      <c r="C270" s="42">
        <v>7.0</v>
      </c>
      <c r="D270" s="54">
        <v>230.0</v>
      </c>
      <c r="E270" s="54">
        <v>1203114.0</v>
      </c>
      <c r="F270" s="54">
        <v>276.0</v>
      </c>
      <c r="G270" s="54">
        <v>1081045.0</v>
      </c>
      <c r="H270" s="55">
        <v>299.0</v>
      </c>
      <c r="I270" s="54">
        <v>1211000.0</v>
      </c>
      <c r="J270" s="42">
        <v>141.0</v>
      </c>
      <c r="K270" s="42">
        <v>115945.0</v>
      </c>
      <c r="L270" s="32">
        <f t="shared" si="1"/>
        <v>-38.69565217</v>
      </c>
      <c r="M270" s="32">
        <f t="shared" si="2"/>
        <v>-48.91304348</v>
      </c>
      <c r="N270" s="32">
        <f t="shared" si="3"/>
        <v>-52.84280936</v>
      </c>
    </row>
    <row r="271">
      <c r="A271" s="42" t="s">
        <v>158</v>
      </c>
      <c r="B271" s="42">
        <v>2.0</v>
      </c>
      <c r="C271" s="42">
        <v>8.0</v>
      </c>
      <c r="D271" s="54">
        <v>212.0</v>
      </c>
      <c r="E271" s="54">
        <v>1201563.0</v>
      </c>
      <c r="F271" s="54">
        <v>259.0</v>
      </c>
      <c r="G271" s="54">
        <v>1081044.0</v>
      </c>
      <c r="H271" s="55">
        <v>284.0</v>
      </c>
      <c r="I271" s="54">
        <v>1211000.0</v>
      </c>
      <c r="J271" s="42">
        <v>130.0</v>
      </c>
      <c r="K271" s="42">
        <v>114939.0</v>
      </c>
      <c r="L271" s="32">
        <f t="shared" si="1"/>
        <v>-38.67924528</v>
      </c>
      <c r="M271" s="32">
        <f t="shared" si="2"/>
        <v>-49.80694981</v>
      </c>
      <c r="N271" s="32">
        <f t="shared" si="3"/>
        <v>-54.22535211</v>
      </c>
    </row>
    <row r="272">
      <c r="A272" s="42" t="s">
        <v>158</v>
      </c>
      <c r="B272" s="42">
        <v>2.0</v>
      </c>
      <c r="C272" s="42">
        <v>9.0</v>
      </c>
      <c r="D272" s="54">
        <v>229.0</v>
      </c>
      <c r="E272" s="54">
        <v>1202581.0</v>
      </c>
      <c r="F272" s="54">
        <v>270.0</v>
      </c>
      <c r="G272" s="54">
        <v>1081184.0</v>
      </c>
      <c r="H272" s="55">
        <v>289.0</v>
      </c>
      <c r="I272" s="54">
        <v>1211000.0</v>
      </c>
      <c r="J272" s="42">
        <v>137.0</v>
      </c>
      <c r="K272" s="42">
        <v>117068.0</v>
      </c>
      <c r="L272" s="32">
        <f t="shared" si="1"/>
        <v>-40.17467249</v>
      </c>
      <c r="M272" s="32">
        <f t="shared" si="2"/>
        <v>-49.25925926</v>
      </c>
      <c r="N272" s="32">
        <f t="shared" si="3"/>
        <v>-52.59515571</v>
      </c>
    </row>
    <row r="273">
      <c r="A273" s="42" t="s">
        <v>158</v>
      </c>
      <c r="B273" s="42">
        <v>2.0</v>
      </c>
      <c r="C273" s="42">
        <v>10.0</v>
      </c>
      <c r="D273" s="54">
        <v>218.0</v>
      </c>
      <c r="E273" s="54">
        <v>1200883.0</v>
      </c>
      <c r="F273" s="54">
        <v>254.0</v>
      </c>
      <c r="G273" s="54">
        <v>1201184.0</v>
      </c>
      <c r="H273" s="55">
        <v>292.0</v>
      </c>
      <c r="I273" s="54">
        <v>1211000.0</v>
      </c>
      <c r="J273" s="42">
        <v>139.0</v>
      </c>
      <c r="K273" s="42">
        <v>116958.0</v>
      </c>
      <c r="L273" s="32">
        <f t="shared" si="1"/>
        <v>-36.23853211</v>
      </c>
      <c r="M273" s="32">
        <f t="shared" si="2"/>
        <v>-45.27559055</v>
      </c>
      <c r="N273" s="32">
        <f t="shared" si="3"/>
        <v>-52.39726027</v>
      </c>
    </row>
    <row r="274">
      <c r="A274" s="42" t="s">
        <v>158</v>
      </c>
      <c r="B274" s="42">
        <v>4.0</v>
      </c>
      <c r="C274" s="42">
        <v>1.0</v>
      </c>
      <c r="D274" s="54">
        <v>435.0</v>
      </c>
      <c r="E274" s="54">
        <v>1201190.0</v>
      </c>
      <c r="F274" s="54">
        <v>466.0</v>
      </c>
      <c r="G274" s="54">
        <v>1201208.0</v>
      </c>
      <c r="H274" s="55">
        <v>495.0</v>
      </c>
      <c r="I274" s="54">
        <v>1211000.0</v>
      </c>
      <c r="J274" s="42">
        <v>332.0</v>
      </c>
      <c r="K274" s="42">
        <v>147948.0</v>
      </c>
      <c r="L274" s="32">
        <f t="shared" si="1"/>
        <v>-23.67816092</v>
      </c>
      <c r="M274" s="32">
        <f t="shared" si="2"/>
        <v>-28.75536481</v>
      </c>
      <c r="N274" s="32">
        <f t="shared" si="3"/>
        <v>-32.92929293</v>
      </c>
    </row>
    <row r="275">
      <c r="A275" s="42" t="s">
        <v>158</v>
      </c>
      <c r="B275" s="42">
        <v>4.0</v>
      </c>
      <c r="C275" s="42">
        <v>2.0</v>
      </c>
      <c r="D275" s="54">
        <v>425.0</v>
      </c>
      <c r="E275" s="54">
        <v>1202847.0</v>
      </c>
      <c r="F275" s="54">
        <v>451.0</v>
      </c>
      <c r="G275" s="54">
        <v>1201119.0</v>
      </c>
      <c r="H275" s="55">
        <v>482.0</v>
      </c>
      <c r="I275" s="54">
        <v>1211000.0</v>
      </c>
      <c r="J275" s="42">
        <v>320.0</v>
      </c>
      <c r="K275" s="42">
        <v>149428.0</v>
      </c>
      <c r="L275" s="32">
        <f t="shared" si="1"/>
        <v>-24.70588235</v>
      </c>
      <c r="M275" s="32">
        <f t="shared" si="2"/>
        <v>-29.04656319</v>
      </c>
      <c r="N275" s="32">
        <f t="shared" si="3"/>
        <v>-33.60995851</v>
      </c>
    </row>
    <row r="276">
      <c r="A276" s="42" t="s">
        <v>158</v>
      </c>
      <c r="B276" s="42">
        <v>4.0</v>
      </c>
      <c r="C276" s="42">
        <v>3.0</v>
      </c>
      <c r="D276" s="54">
        <v>434.0</v>
      </c>
      <c r="E276" s="54">
        <v>1201358.0</v>
      </c>
      <c r="F276" s="54">
        <v>459.0</v>
      </c>
      <c r="G276" s="54">
        <v>1200617.0</v>
      </c>
      <c r="H276" s="55">
        <v>487.0</v>
      </c>
      <c r="I276" s="54">
        <v>1211000.0</v>
      </c>
      <c r="J276" s="42">
        <v>329.0</v>
      </c>
      <c r="K276" s="42">
        <v>148451.0</v>
      </c>
      <c r="L276" s="32">
        <f t="shared" si="1"/>
        <v>-24.19354839</v>
      </c>
      <c r="M276" s="32">
        <f t="shared" si="2"/>
        <v>-28.32244009</v>
      </c>
      <c r="N276" s="32">
        <f t="shared" si="3"/>
        <v>-32.44353183</v>
      </c>
    </row>
    <row r="277">
      <c r="A277" s="42" t="s">
        <v>158</v>
      </c>
      <c r="B277" s="42">
        <v>4.0</v>
      </c>
      <c r="C277" s="42">
        <v>4.0</v>
      </c>
      <c r="D277" s="54">
        <v>414.0</v>
      </c>
      <c r="E277" s="54">
        <v>1202556.0</v>
      </c>
      <c r="F277" s="54">
        <v>447.0</v>
      </c>
      <c r="G277" s="54">
        <v>1200462.0</v>
      </c>
      <c r="H277" s="55">
        <v>471.0</v>
      </c>
      <c r="I277" s="54">
        <v>1211000.0</v>
      </c>
      <c r="J277" s="42">
        <v>310.0</v>
      </c>
      <c r="K277" s="42">
        <v>147358.0</v>
      </c>
      <c r="L277" s="32">
        <f t="shared" si="1"/>
        <v>-25.12077295</v>
      </c>
      <c r="M277" s="32">
        <f t="shared" si="2"/>
        <v>-30.64876957</v>
      </c>
      <c r="N277" s="32">
        <f t="shared" si="3"/>
        <v>-34.18259023</v>
      </c>
    </row>
    <row r="278">
      <c r="A278" s="42" t="s">
        <v>158</v>
      </c>
      <c r="B278" s="42">
        <v>4.0</v>
      </c>
      <c r="C278" s="42">
        <v>5.0</v>
      </c>
      <c r="D278" s="54">
        <v>443.0</v>
      </c>
      <c r="E278" s="54">
        <v>1200769.0</v>
      </c>
      <c r="F278" s="54">
        <v>468.0</v>
      </c>
      <c r="G278" s="54">
        <v>1081194.0</v>
      </c>
      <c r="H278" s="55">
        <v>498.0</v>
      </c>
      <c r="I278" s="54">
        <v>1211000.0</v>
      </c>
      <c r="J278" s="42">
        <v>332.0</v>
      </c>
      <c r="K278" s="42">
        <v>150452.0</v>
      </c>
      <c r="L278" s="32">
        <f t="shared" si="1"/>
        <v>-25.05643341</v>
      </c>
      <c r="M278" s="32">
        <f t="shared" si="2"/>
        <v>-29.05982906</v>
      </c>
      <c r="N278" s="32">
        <f t="shared" si="3"/>
        <v>-33.33333333</v>
      </c>
    </row>
    <row r="279">
      <c r="A279" s="42" t="s">
        <v>158</v>
      </c>
      <c r="B279" s="42">
        <v>4.0</v>
      </c>
      <c r="C279" s="42">
        <v>6.0</v>
      </c>
      <c r="D279" s="54">
        <v>425.0</v>
      </c>
      <c r="E279" s="54">
        <v>1200898.0</v>
      </c>
      <c r="F279" s="54">
        <v>467.0</v>
      </c>
      <c r="G279" s="54">
        <v>1201426.0</v>
      </c>
      <c r="H279" s="55">
        <v>483.0</v>
      </c>
      <c r="I279" s="54">
        <v>1211000.0</v>
      </c>
      <c r="J279" s="42">
        <v>323.0</v>
      </c>
      <c r="K279" s="42">
        <v>147011.0</v>
      </c>
      <c r="L279" s="32">
        <f t="shared" si="1"/>
        <v>-24</v>
      </c>
      <c r="M279" s="32">
        <f t="shared" si="2"/>
        <v>-30.83511777</v>
      </c>
      <c r="N279" s="32">
        <f t="shared" si="3"/>
        <v>-33.126294</v>
      </c>
    </row>
    <row r="280">
      <c r="A280" s="42" t="s">
        <v>158</v>
      </c>
      <c r="B280" s="42">
        <v>4.0</v>
      </c>
      <c r="C280" s="42">
        <v>7.0</v>
      </c>
      <c r="D280" s="54">
        <v>418.0</v>
      </c>
      <c r="E280" s="54">
        <v>1201759.0</v>
      </c>
      <c r="F280" s="54">
        <v>462.0</v>
      </c>
      <c r="G280" s="54">
        <v>1201384.0</v>
      </c>
      <c r="H280" s="55">
        <v>474.0</v>
      </c>
      <c r="I280" s="54">
        <v>1211000.0</v>
      </c>
      <c r="J280" s="42">
        <v>312.0</v>
      </c>
      <c r="K280" s="42">
        <v>167729.0</v>
      </c>
      <c r="L280" s="32">
        <f t="shared" si="1"/>
        <v>-25.35885167</v>
      </c>
      <c r="M280" s="32">
        <f t="shared" si="2"/>
        <v>-32.46753247</v>
      </c>
      <c r="N280" s="32">
        <f t="shared" si="3"/>
        <v>-34.17721519</v>
      </c>
    </row>
    <row r="281">
      <c r="A281" s="42" t="s">
        <v>158</v>
      </c>
      <c r="B281" s="42">
        <v>4.0</v>
      </c>
      <c r="C281" s="42">
        <v>8.0</v>
      </c>
      <c r="D281" s="54">
        <v>429.0</v>
      </c>
      <c r="E281" s="54">
        <v>1202047.0</v>
      </c>
      <c r="F281" s="54">
        <v>465.0</v>
      </c>
      <c r="G281" s="54">
        <v>1081050.0</v>
      </c>
      <c r="H281" s="55">
        <v>474.0</v>
      </c>
      <c r="I281" s="54">
        <v>1211000.0</v>
      </c>
      <c r="J281" s="42">
        <v>325.0</v>
      </c>
      <c r="K281" s="42">
        <v>153902.0</v>
      </c>
      <c r="L281" s="32">
        <f t="shared" si="1"/>
        <v>-24.24242424</v>
      </c>
      <c r="M281" s="32">
        <f t="shared" si="2"/>
        <v>-30.10752688</v>
      </c>
      <c r="N281" s="32">
        <f t="shared" si="3"/>
        <v>-31.43459916</v>
      </c>
    </row>
    <row r="282">
      <c r="A282" s="42" t="s">
        <v>158</v>
      </c>
      <c r="B282" s="42">
        <v>4.0</v>
      </c>
      <c r="C282" s="42">
        <v>9.0</v>
      </c>
      <c r="D282" s="54">
        <v>435.0</v>
      </c>
      <c r="E282" s="54">
        <v>1200158.0</v>
      </c>
      <c r="F282" s="54">
        <v>466.0</v>
      </c>
      <c r="G282" s="54">
        <v>1081262.0</v>
      </c>
      <c r="H282" s="55">
        <v>474.0</v>
      </c>
      <c r="I282" s="54">
        <v>1211000.0</v>
      </c>
      <c r="J282" s="42">
        <v>313.0</v>
      </c>
      <c r="K282" s="42">
        <v>142329.0</v>
      </c>
      <c r="L282" s="32">
        <f t="shared" si="1"/>
        <v>-28.04597701</v>
      </c>
      <c r="M282" s="32">
        <f t="shared" si="2"/>
        <v>-32.83261803</v>
      </c>
      <c r="N282" s="32">
        <f t="shared" si="3"/>
        <v>-33.96624473</v>
      </c>
    </row>
    <row r="283">
      <c r="A283" s="42" t="s">
        <v>158</v>
      </c>
      <c r="B283" s="42">
        <v>4.0</v>
      </c>
      <c r="C283" s="42">
        <v>10.0</v>
      </c>
      <c r="D283" s="54">
        <v>437.0</v>
      </c>
      <c r="E283" s="54">
        <v>1201970.0</v>
      </c>
      <c r="F283" s="54">
        <v>454.0</v>
      </c>
      <c r="G283" s="54">
        <v>1201068.0</v>
      </c>
      <c r="H283" s="55">
        <v>483.0</v>
      </c>
      <c r="I283" s="54">
        <v>1211000.0</v>
      </c>
      <c r="J283" s="42">
        <v>317.0</v>
      </c>
      <c r="K283" s="42">
        <v>145829.0</v>
      </c>
      <c r="L283" s="32">
        <f t="shared" si="1"/>
        <v>-27.45995423</v>
      </c>
      <c r="M283" s="32">
        <f t="shared" si="2"/>
        <v>-30.17621145</v>
      </c>
      <c r="N283" s="32">
        <f t="shared" si="3"/>
        <v>-34.36853002</v>
      </c>
    </row>
    <row r="284">
      <c r="A284" s="42" t="s">
        <v>158</v>
      </c>
      <c r="B284" s="42">
        <v>6.0</v>
      </c>
      <c r="C284" s="42">
        <v>1.0</v>
      </c>
      <c r="D284" s="54">
        <v>570.0</v>
      </c>
      <c r="E284" s="54">
        <v>1199909.0</v>
      </c>
      <c r="F284" s="54">
        <v>610.0</v>
      </c>
      <c r="G284" s="54">
        <v>1081243.0</v>
      </c>
      <c r="H284" s="55">
        <v>626.0</v>
      </c>
      <c r="I284" s="54">
        <v>1211000.0</v>
      </c>
      <c r="J284" s="42">
        <v>487.0</v>
      </c>
      <c r="K284" s="42">
        <v>177229.0</v>
      </c>
      <c r="L284" s="32">
        <f t="shared" si="1"/>
        <v>-14.56140351</v>
      </c>
      <c r="M284" s="32">
        <f t="shared" si="2"/>
        <v>-20.16393443</v>
      </c>
      <c r="N284" s="32">
        <f t="shared" si="3"/>
        <v>-22.20447284</v>
      </c>
    </row>
    <row r="285">
      <c r="A285" s="42" t="s">
        <v>158</v>
      </c>
      <c r="B285" s="42">
        <v>6.0</v>
      </c>
      <c r="C285" s="42">
        <v>2.0</v>
      </c>
      <c r="D285" s="54">
        <v>572.0</v>
      </c>
      <c r="E285" s="54">
        <v>1200809.0</v>
      </c>
      <c r="F285" s="54">
        <v>604.0</v>
      </c>
      <c r="G285" s="54">
        <v>1081417.0</v>
      </c>
      <c r="H285" s="55">
        <v>607.0</v>
      </c>
      <c r="I285" s="54">
        <v>1211000.0</v>
      </c>
      <c r="J285" s="42">
        <v>477.0</v>
      </c>
      <c r="K285" s="42">
        <v>174855.0</v>
      </c>
      <c r="L285" s="32">
        <f t="shared" si="1"/>
        <v>-16.60839161</v>
      </c>
      <c r="M285" s="32">
        <f t="shared" si="2"/>
        <v>-21.02649007</v>
      </c>
      <c r="N285" s="32">
        <f t="shared" si="3"/>
        <v>-21.41680395</v>
      </c>
    </row>
    <row r="286">
      <c r="A286" s="42" t="s">
        <v>158</v>
      </c>
      <c r="B286" s="42">
        <v>6.0</v>
      </c>
      <c r="C286" s="42">
        <v>3.0</v>
      </c>
      <c r="D286" s="54">
        <v>577.0</v>
      </c>
      <c r="E286" s="54">
        <v>1201759.0</v>
      </c>
      <c r="F286" s="54">
        <v>613.0</v>
      </c>
      <c r="G286" s="54">
        <v>1200581.0</v>
      </c>
      <c r="H286" s="55">
        <v>612.0</v>
      </c>
      <c r="I286" s="54">
        <v>1211000.0</v>
      </c>
      <c r="J286" s="42">
        <v>474.0</v>
      </c>
      <c r="K286" s="42">
        <v>175130.0</v>
      </c>
      <c r="L286" s="32">
        <f t="shared" si="1"/>
        <v>-17.85095321</v>
      </c>
      <c r="M286" s="32">
        <f t="shared" si="2"/>
        <v>-22.67536705</v>
      </c>
      <c r="N286" s="32">
        <f t="shared" si="3"/>
        <v>-22.54901961</v>
      </c>
    </row>
    <row r="287">
      <c r="A287" s="42" t="s">
        <v>158</v>
      </c>
      <c r="B287" s="42">
        <v>6.0</v>
      </c>
      <c r="C287" s="42">
        <v>4.0</v>
      </c>
      <c r="D287" s="54">
        <v>557.0</v>
      </c>
      <c r="E287" s="54">
        <v>1200010.0</v>
      </c>
      <c r="F287" s="54">
        <v>602.0</v>
      </c>
      <c r="G287" s="54">
        <v>1201220.0</v>
      </c>
      <c r="H287" s="55">
        <v>610.0</v>
      </c>
      <c r="I287" s="54">
        <v>1211000.0</v>
      </c>
      <c r="J287" s="42">
        <v>475.0</v>
      </c>
      <c r="K287" s="42">
        <v>177391.0</v>
      </c>
      <c r="L287" s="32">
        <f t="shared" si="1"/>
        <v>-14.72172352</v>
      </c>
      <c r="M287" s="32">
        <f t="shared" si="2"/>
        <v>-21.09634551</v>
      </c>
      <c r="N287" s="32">
        <f t="shared" si="3"/>
        <v>-22.13114754</v>
      </c>
    </row>
    <row r="288">
      <c r="A288" s="42" t="s">
        <v>158</v>
      </c>
      <c r="B288" s="42">
        <v>6.0</v>
      </c>
      <c r="C288" s="42">
        <v>5.0</v>
      </c>
      <c r="D288" s="54">
        <v>567.0</v>
      </c>
      <c r="E288" s="54">
        <v>1202390.0</v>
      </c>
      <c r="F288" s="54">
        <v>611.0</v>
      </c>
      <c r="G288" s="54">
        <v>1201264.0</v>
      </c>
      <c r="H288" s="55">
        <v>611.0</v>
      </c>
      <c r="I288" s="54">
        <v>1211000.0</v>
      </c>
      <c r="J288" s="42">
        <v>477.0</v>
      </c>
      <c r="K288" s="42">
        <v>176960.0</v>
      </c>
      <c r="L288" s="32">
        <f t="shared" si="1"/>
        <v>-15.87301587</v>
      </c>
      <c r="M288" s="32">
        <f t="shared" si="2"/>
        <v>-21.93126023</v>
      </c>
      <c r="N288" s="32">
        <f t="shared" si="3"/>
        <v>-21.93126023</v>
      </c>
    </row>
    <row r="289">
      <c r="A289" s="42" t="s">
        <v>158</v>
      </c>
      <c r="B289" s="42">
        <v>6.0</v>
      </c>
      <c r="C289" s="42">
        <v>6.0</v>
      </c>
      <c r="D289" s="54">
        <v>581.0</v>
      </c>
      <c r="E289" s="54">
        <v>1202412.0</v>
      </c>
      <c r="F289" s="54">
        <v>620.0</v>
      </c>
      <c r="G289" s="54">
        <v>1201168.0</v>
      </c>
      <c r="H289" s="55">
        <v>609.0</v>
      </c>
      <c r="I289" s="54">
        <v>1211000.0</v>
      </c>
      <c r="J289" s="42">
        <v>480.0</v>
      </c>
      <c r="K289" s="42">
        <v>178064.0</v>
      </c>
      <c r="L289" s="32">
        <f t="shared" si="1"/>
        <v>-17.383821</v>
      </c>
      <c r="M289" s="32">
        <f t="shared" si="2"/>
        <v>-22.58064516</v>
      </c>
      <c r="N289" s="32">
        <f t="shared" si="3"/>
        <v>-21.18226601</v>
      </c>
    </row>
    <row r="290">
      <c r="A290" s="42" t="s">
        <v>158</v>
      </c>
      <c r="B290" s="42">
        <v>6.0</v>
      </c>
      <c r="C290" s="42">
        <v>7.0</v>
      </c>
      <c r="D290" s="54">
        <v>577.0</v>
      </c>
      <c r="E290" s="54">
        <v>1200421.0</v>
      </c>
      <c r="F290" s="54">
        <v>615.0</v>
      </c>
      <c r="G290" s="54">
        <v>1200582.0</v>
      </c>
      <c r="H290" s="55">
        <v>617.0</v>
      </c>
      <c r="I290" s="54">
        <v>1211000.0</v>
      </c>
      <c r="J290" s="42">
        <v>481.0</v>
      </c>
      <c r="K290" s="42">
        <v>177424.0</v>
      </c>
      <c r="L290" s="32">
        <f t="shared" si="1"/>
        <v>-16.63778163</v>
      </c>
      <c r="M290" s="32">
        <f t="shared" si="2"/>
        <v>-21.78861789</v>
      </c>
      <c r="N290" s="32">
        <f t="shared" si="3"/>
        <v>-22.04213938</v>
      </c>
    </row>
    <row r="291">
      <c r="A291" s="42" t="s">
        <v>158</v>
      </c>
      <c r="B291" s="42">
        <v>6.0</v>
      </c>
      <c r="C291" s="42">
        <v>8.0</v>
      </c>
      <c r="D291" s="54">
        <v>580.0</v>
      </c>
      <c r="E291" s="54">
        <v>1199972.0</v>
      </c>
      <c r="F291" s="54">
        <v>616.0</v>
      </c>
      <c r="G291" s="54">
        <v>1200673.0</v>
      </c>
      <c r="H291" s="55">
        <v>625.0</v>
      </c>
      <c r="I291" s="54">
        <v>1211000.0</v>
      </c>
      <c r="J291" s="42">
        <v>485.0</v>
      </c>
      <c r="K291" s="42">
        <v>181549.0</v>
      </c>
      <c r="L291" s="32">
        <f t="shared" si="1"/>
        <v>-16.37931034</v>
      </c>
      <c r="M291" s="32">
        <f t="shared" si="2"/>
        <v>-21.26623377</v>
      </c>
      <c r="N291" s="32">
        <f t="shared" si="3"/>
        <v>-22.4</v>
      </c>
    </row>
    <row r="292">
      <c r="A292" s="42" t="s">
        <v>158</v>
      </c>
      <c r="B292" s="42">
        <v>6.0</v>
      </c>
      <c r="C292" s="42">
        <v>9.0</v>
      </c>
      <c r="D292" s="54">
        <v>571.0</v>
      </c>
      <c r="E292" s="54">
        <v>1202716.0</v>
      </c>
      <c r="F292" s="54">
        <v>599.0</v>
      </c>
      <c r="G292" s="54">
        <v>1201061.0</v>
      </c>
      <c r="H292" s="55">
        <v>607.0</v>
      </c>
      <c r="I292" s="54">
        <v>1211000.0</v>
      </c>
      <c r="J292" s="42">
        <v>474.0</v>
      </c>
      <c r="K292" s="42">
        <v>174959.0</v>
      </c>
      <c r="L292" s="32">
        <f t="shared" si="1"/>
        <v>-16.98774081</v>
      </c>
      <c r="M292" s="32">
        <f t="shared" si="2"/>
        <v>-20.86811352</v>
      </c>
      <c r="N292" s="32">
        <f t="shared" si="3"/>
        <v>-21.91103789</v>
      </c>
    </row>
    <row r="293">
      <c r="A293" s="42" t="s">
        <v>158</v>
      </c>
      <c r="B293" s="42">
        <v>6.0</v>
      </c>
      <c r="C293" s="42">
        <v>10.0</v>
      </c>
      <c r="D293" s="54">
        <v>573.0</v>
      </c>
      <c r="E293" s="54">
        <v>1200187.0</v>
      </c>
      <c r="F293" s="54">
        <v>612.0</v>
      </c>
      <c r="G293" s="54">
        <v>1201230.0</v>
      </c>
      <c r="H293" s="55">
        <v>612.0</v>
      </c>
      <c r="I293" s="54">
        <v>1211000.0</v>
      </c>
      <c r="J293" s="42">
        <v>478.0</v>
      </c>
      <c r="K293" s="42">
        <v>170914.0</v>
      </c>
      <c r="L293" s="32">
        <f t="shared" si="1"/>
        <v>-16.57940663</v>
      </c>
      <c r="M293" s="32">
        <f t="shared" si="2"/>
        <v>-21.89542484</v>
      </c>
      <c r="N293" s="32">
        <f t="shared" si="3"/>
        <v>-21.89542484</v>
      </c>
    </row>
    <row r="294">
      <c r="A294" s="42" t="s">
        <v>158</v>
      </c>
      <c r="B294" s="42">
        <v>8.0</v>
      </c>
      <c r="C294" s="42">
        <v>1.0</v>
      </c>
      <c r="D294" s="54">
        <v>661.0</v>
      </c>
      <c r="E294" s="54">
        <v>1201268.0</v>
      </c>
      <c r="F294" s="54">
        <v>688.0</v>
      </c>
      <c r="G294" s="54">
        <v>1201678.0</v>
      </c>
      <c r="H294" s="55">
        <v>685.0</v>
      </c>
      <c r="I294" s="54">
        <v>1211000.0</v>
      </c>
      <c r="J294" s="42">
        <v>581.0</v>
      </c>
      <c r="K294" s="42">
        <v>199385.0</v>
      </c>
      <c r="L294" s="32">
        <f t="shared" si="1"/>
        <v>-12.10287443</v>
      </c>
      <c r="M294" s="32">
        <f t="shared" si="2"/>
        <v>-15.55232558</v>
      </c>
      <c r="N294" s="32">
        <f t="shared" si="3"/>
        <v>-15.18248175</v>
      </c>
    </row>
    <row r="295">
      <c r="A295" s="42" t="s">
        <v>158</v>
      </c>
      <c r="B295" s="42">
        <v>8.0</v>
      </c>
      <c r="C295" s="42">
        <v>2.0</v>
      </c>
      <c r="D295" s="54">
        <v>653.0</v>
      </c>
      <c r="E295" s="54">
        <v>1202733.0</v>
      </c>
      <c r="F295" s="54">
        <v>694.0</v>
      </c>
      <c r="G295" s="54">
        <v>1201175.0</v>
      </c>
      <c r="H295" s="55">
        <v>687.0</v>
      </c>
      <c r="I295" s="54">
        <v>1211000.0</v>
      </c>
      <c r="J295" s="42">
        <v>583.0</v>
      </c>
      <c r="K295" s="42">
        <v>211616.0</v>
      </c>
      <c r="L295" s="32">
        <f t="shared" si="1"/>
        <v>-10.71975498</v>
      </c>
      <c r="M295" s="32">
        <f t="shared" si="2"/>
        <v>-15.99423631</v>
      </c>
      <c r="N295" s="32">
        <f t="shared" si="3"/>
        <v>-15.13828239</v>
      </c>
    </row>
    <row r="296">
      <c r="A296" s="42" t="s">
        <v>158</v>
      </c>
      <c r="B296" s="42">
        <v>8.0</v>
      </c>
      <c r="C296" s="42">
        <v>3.0</v>
      </c>
      <c r="D296" s="54">
        <v>655.0</v>
      </c>
      <c r="E296" s="54">
        <v>1201284.0</v>
      </c>
      <c r="F296" s="54">
        <v>696.0</v>
      </c>
      <c r="G296" s="54">
        <v>1200938.0</v>
      </c>
      <c r="H296" s="55">
        <v>686.0</v>
      </c>
      <c r="I296" s="54">
        <v>1211000.0</v>
      </c>
      <c r="J296" s="42">
        <v>581.0</v>
      </c>
      <c r="K296" s="42">
        <v>207806.0</v>
      </c>
      <c r="L296" s="32">
        <f t="shared" si="1"/>
        <v>-11.29770992</v>
      </c>
      <c r="M296" s="32">
        <f t="shared" si="2"/>
        <v>-16.52298851</v>
      </c>
      <c r="N296" s="32">
        <f t="shared" si="3"/>
        <v>-15.30612245</v>
      </c>
    </row>
    <row r="297">
      <c r="A297" s="42" t="s">
        <v>158</v>
      </c>
      <c r="B297" s="42">
        <v>8.0</v>
      </c>
      <c r="C297" s="42">
        <v>4.0</v>
      </c>
      <c r="D297" s="54">
        <v>658.0</v>
      </c>
      <c r="E297" s="54">
        <v>1201080.0</v>
      </c>
      <c r="F297" s="54">
        <v>689.0</v>
      </c>
      <c r="G297" s="54">
        <v>1201468.0</v>
      </c>
      <c r="H297" s="55">
        <v>686.0</v>
      </c>
      <c r="I297" s="54">
        <v>1211000.0</v>
      </c>
      <c r="J297" s="42">
        <v>582.0</v>
      </c>
      <c r="K297" s="42">
        <v>206047.0</v>
      </c>
      <c r="L297" s="32">
        <f t="shared" si="1"/>
        <v>-11.55015198</v>
      </c>
      <c r="M297" s="32">
        <f t="shared" si="2"/>
        <v>-15.52975327</v>
      </c>
      <c r="N297" s="32">
        <f t="shared" si="3"/>
        <v>-15.16034985</v>
      </c>
    </row>
    <row r="298">
      <c r="A298" s="42" t="s">
        <v>158</v>
      </c>
      <c r="B298" s="42">
        <v>8.0</v>
      </c>
      <c r="C298" s="42">
        <v>5.0</v>
      </c>
      <c r="D298" s="54">
        <v>652.0</v>
      </c>
      <c r="E298" s="54">
        <v>1202697.0</v>
      </c>
      <c r="F298" s="54">
        <v>696.0</v>
      </c>
      <c r="G298" s="54">
        <v>1200537.0</v>
      </c>
      <c r="H298" s="55">
        <v>695.0</v>
      </c>
      <c r="I298" s="54">
        <v>1211000.0</v>
      </c>
      <c r="J298" s="42">
        <v>593.0</v>
      </c>
      <c r="K298" s="42">
        <v>235828.0</v>
      </c>
      <c r="L298" s="32">
        <f t="shared" si="1"/>
        <v>-9.049079755</v>
      </c>
      <c r="M298" s="32">
        <f t="shared" si="2"/>
        <v>-14.79885057</v>
      </c>
      <c r="N298" s="32">
        <f t="shared" si="3"/>
        <v>-14.67625899</v>
      </c>
    </row>
    <row r="299">
      <c r="A299" s="42" t="s">
        <v>158</v>
      </c>
      <c r="B299" s="42">
        <v>8.0</v>
      </c>
      <c r="C299" s="42">
        <v>6.0</v>
      </c>
      <c r="D299" s="54">
        <v>654.0</v>
      </c>
      <c r="E299" s="54">
        <v>1201821.0</v>
      </c>
      <c r="F299" s="54">
        <v>686.0</v>
      </c>
      <c r="G299" s="54">
        <v>1200244.0</v>
      </c>
      <c r="H299" s="55">
        <v>684.0</v>
      </c>
      <c r="I299" s="54">
        <v>1211000.0</v>
      </c>
      <c r="J299" s="42">
        <v>572.0</v>
      </c>
      <c r="K299" s="42">
        <v>210300.0</v>
      </c>
      <c r="L299" s="32">
        <f t="shared" si="1"/>
        <v>-12.5382263</v>
      </c>
      <c r="M299" s="32">
        <f t="shared" si="2"/>
        <v>-16.6180758</v>
      </c>
      <c r="N299" s="32">
        <f t="shared" si="3"/>
        <v>-16.37426901</v>
      </c>
    </row>
    <row r="300">
      <c r="A300" s="42" t="s">
        <v>158</v>
      </c>
      <c r="B300" s="42">
        <v>8.0</v>
      </c>
      <c r="C300" s="42">
        <v>7.0</v>
      </c>
      <c r="D300" s="54">
        <v>650.0</v>
      </c>
      <c r="E300" s="54">
        <v>1200178.0</v>
      </c>
      <c r="F300" s="54">
        <v>687.0</v>
      </c>
      <c r="G300" s="54">
        <v>1201221.0</v>
      </c>
      <c r="H300" s="55">
        <v>682.0</v>
      </c>
      <c r="I300" s="54">
        <v>1211000.0</v>
      </c>
      <c r="J300" s="42">
        <v>578.0</v>
      </c>
      <c r="K300" s="42">
        <v>216654.0</v>
      </c>
      <c r="L300" s="32">
        <f t="shared" si="1"/>
        <v>-11.07692308</v>
      </c>
      <c r="M300" s="32">
        <f t="shared" si="2"/>
        <v>-15.86608443</v>
      </c>
      <c r="N300" s="32">
        <f t="shared" si="3"/>
        <v>-15.24926686</v>
      </c>
    </row>
    <row r="301">
      <c r="A301" s="42" t="s">
        <v>158</v>
      </c>
      <c r="B301" s="42">
        <v>8.0</v>
      </c>
      <c r="C301" s="42">
        <v>8.0</v>
      </c>
      <c r="D301" s="54">
        <v>648.0</v>
      </c>
      <c r="E301" s="54">
        <v>1201099.0</v>
      </c>
      <c r="F301" s="54">
        <v>693.0</v>
      </c>
      <c r="G301" s="54">
        <v>1081432.0</v>
      </c>
      <c r="H301" s="55">
        <v>677.0</v>
      </c>
      <c r="I301" s="54">
        <v>1211000.0</v>
      </c>
      <c r="J301" s="42">
        <v>579.0</v>
      </c>
      <c r="K301" s="42">
        <v>211762.0</v>
      </c>
      <c r="L301" s="32">
        <f t="shared" si="1"/>
        <v>-10.64814815</v>
      </c>
      <c r="M301" s="32">
        <f t="shared" si="2"/>
        <v>-16.45021645</v>
      </c>
      <c r="N301" s="32">
        <f t="shared" si="3"/>
        <v>-14.47562777</v>
      </c>
    </row>
    <row r="302">
      <c r="A302" s="42" t="s">
        <v>158</v>
      </c>
      <c r="B302" s="42">
        <v>8.0</v>
      </c>
      <c r="C302" s="42">
        <v>9.0</v>
      </c>
      <c r="D302" s="54">
        <v>649.0</v>
      </c>
      <c r="E302" s="54">
        <v>1200387.0</v>
      </c>
      <c r="F302" s="54">
        <v>686.0</v>
      </c>
      <c r="G302" s="54">
        <v>1200689.0</v>
      </c>
      <c r="H302" s="55">
        <v>682.0</v>
      </c>
      <c r="I302" s="54">
        <v>1210000.0</v>
      </c>
      <c r="J302" s="42">
        <v>574.0</v>
      </c>
      <c r="K302" s="42">
        <v>203254.0</v>
      </c>
      <c r="L302" s="32">
        <f t="shared" si="1"/>
        <v>-11.55624037</v>
      </c>
      <c r="M302" s="32">
        <f t="shared" si="2"/>
        <v>-16.32653061</v>
      </c>
      <c r="N302" s="32">
        <f t="shared" si="3"/>
        <v>-15.83577713</v>
      </c>
    </row>
    <row r="303">
      <c r="A303" s="42" t="s">
        <v>158</v>
      </c>
      <c r="B303" s="42">
        <v>8.0</v>
      </c>
      <c r="C303" s="42">
        <v>10.0</v>
      </c>
      <c r="D303" s="54">
        <v>665.0</v>
      </c>
      <c r="E303" s="54">
        <v>1200628.0</v>
      </c>
      <c r="F303" s="54">
        <v>689.0</v>
      </c>
      <c r="G303" s="54">
        <v>1201160.0</v>
      </c>
      <c r="H303" s="55">
        <v>692.0</v>
      </c>
      <c r="I303" s="54">
        <v>1211000.0</v>
      </c>
      <c r="J303" s="42">
        <v>584.0</v>
      </c>
      <c r="K303" s="42">
        <v>205666.0</v>
      </c>
      <c r="L303" s="32">
        <f t="shared" si="1"/>
        <v>-12.18045113</v>
      </c>
      <c r="M303" s="32">
        <f t="shared" si="2"/>
        <v>-15.2394775</v>
      </c>
      <c r="N303" s="32">
        <f t="shared" si="3"/>
        <v>-15.60693642</v>
      </c>
    </row>
    <row r="304">
      <c r="A304" s="42" t="s">
        <v>158</v>
      </c>
      <c r="B304" s="42">
        <v>10.0</v>
      </c>
      <c r="C304" s="42">
        <v>1.0</v>
      </c>
      <c r="D304" s="54">
        <v>702.0</v>
      </c>
      <c r="E304" s="54">
        <v>1201094.0</v>
      </c>
      <c r="F304" s="54">
        <v>738.0</v>
      </c>
      <c r="G304" s="54">
        <v>1200489.0</v>
      </c>
      <c r="H304" s="55">
        <v>723.0</v>
      </c>
      <c r="I304" s="54">
        <v>1210000.0</v>
      </c>
      <c r="J304" s="42">
        <v>641.0</v>
      </c>
      <c r="K304" s="42">
        <v>239500.0</v>
      </c>
      <c r="L304" s="32">
        <f t="shared" si="1"/>
        <v>-8.689458689</v>
      </c>
      <c r="M304" s="32">
        <f t="shared" si="2"/>
        <v>-13.14363144</v>
      </c>
      <c r="N304" s="32">
        <f t="shared" si="3"/>
        <v>-11.34163209</v>
      </c>
    </row>
    <row r="305">
      <c r="A305" s="42" t="s">
        <v>158</v>
      </c>
      <c r="B305" s="42">
        <v>10.0</v>
      </c>
      <c r="C305" s="42">
        <v>2.0</v>
      </c>
      <c r="D305" s="54">
        <v>700.0</v>
      </c>
      <c r="E305" s="54">
        <v>1200740.0</v>
      </c>
      <c r="F305" s="54">
        <v>740.0</v>
      </c>
      <c r="G305" s="54">
        <v>1080408.0</v>
      </c>
      <c r="H305" s="55">
        <v>725.0</v>
      </c>
      <c r="I305" s="54">
        <v>1211000.0</v>
      </c>
      <c r="J305" s="42">
        <v>645.0</v>
      </c>
      <c r="K305" s="42">
        <v>237414.0</v>
      </c>
      <c r="L305" s="32">
        <f t="shared" si="1"/>
        <v>-7.857142857</v>
      </c>
      <c r="M305" s="32">
        <f t="shared" si="2"/>
        <v>-12.83783784</v>
      </c>
      <c r="N305" s="32">
        <f t="shared" si="3"/>
        <v>-11.03448276</v>
      </c>
    </row>
    <row r="306">
      <c r="A306" s="42" t="s">
        <v>158</v>
      </c>
      <c r="B306" s="42">
        <v>10.0</v>
      </c>
      <c r="C306" s="42">
        <v>3.0</v>
      </c>
      <c r="D306" s="54">
        <v>701.0</v>
      </c>
      <c r="E306" s="54">
        <v>1201265.0</v>
      </c>
      <c r="F306" s="54">
        <v>734.0</v>
      </c>
      <c r="G306" s="54">
        <v>1081265.0</v>
      </c>
      <c r="H306" s="55">
        <v>728.0</v>
      </c>
      <c r="I306" s="54">
        <v>1211000.0</v>
      </c>
      <c r="J306" s="42">
        <v>648.0</v>
      </c>
      <c r="K306" s="42">
        <v>253056.0</v>
      </c>
      <c r="L306" s="32">
        <f t="shared" si="1"/>
        <v>-7.560627675</v>
      </c>
      <c r="M306" s="32">
        <f t="shared" si="2"/>
        <v>-11.71662125</v>
      </c>
      <c r="N306" s="32">
        <f t="shared" si="3"/>
        <v>-10.98901099</v>
      </c>
    </row>
    <row r="307">
      <c r="A307" s="42" t="s">
        <v>158</v>
      </c>
      <c r="B307" s="42">
        <v>10.0</v>
      </c>
      <c r="C307" s="42">
        <v>4.0</v>
      </c>
      <c r="D307" s="54">
        <v>697.0</v>
      </c>
      <c r="E307" s="54">
        <v>1200595.0</v>
      </c>
      <c r="F307" s="54">
        <v>732.0</v>
      </c>
      <c r="G307" s="54">
        <v>1201499.0</v>
      </c>
      <c r="H307" s="55">
        <v>723.0</v>
      </c>
      <c r="I307" s="54">
        <v>1211000.0</v>
      </c>
      <c r="J307" s="42">
        <v>646.0</v>
      </c>
      <c r="K307" s="42">
        <v>231268.0</v>
      </c>
      <c r="L307" s="32">
        <f t="shared" si="1"/>
        <v>-7.317073171</v>
      </c>
      <c r="M307" s="32">
        <f t="shared" si="2"/>
        <v>-11.74863388</v>
      </c>
      <c r="N307" s="32">
        <f t="shared" si="3"/>
        <v>-10.65006916</v>
      </c>
    </row>
    <row r="308">
      <c r="A308" s="42" t="s">
        <v>158</v>
      </c>
      <c r="B308" s="42">
        <v>10.0</v>
      </c>
      <c r="C308" s="42">
        <v>5.0</v>
      </c>
      <c r="D308" s="54">
        <v>702.0</v>
      </c>
      <c r="E308" s="54">
        <v>1200073.0</v>
      </c>
      <c r="F308" s="54">
        <v>741.0</v>
      </c>
      <c r="G308" s="54">
        <v>1201226.0</v>
      </c>
      <c r="H308" s="55">
        <v>727.0</v>
      </c>
      <c r="I308" s="54">
        <v>1211000.0</v>
      </c>
      <c r="J308" s="42">
        <v>649.0</v>
      </c>
      <c r="K308" s="42">
        <v>237584.0</v>
      </c>
      <c r="L308" s="32">
        <f t="shared" si="1"/>
        <v>-7.54985755</v>
      </c>
      <c r="M308" s="32">
        <f t="shared" si="2"/>
        <v>-12.41565452</v>
      </c>
      <c r="N308" s="32">
        <f t="shared" si="3"/>
        <v>-10.72902338</v>
      </c>
    </row>
    <row r="309">
      <c r="A309" s="42" t="s">
        <v>158</v>
      </c>
      <c r="B309" s="42">
        <v>10.0</v>
      </c>
      <c r="C309" s="42">
        <v>6.0</v>
      </c>
      <c r="D309" s="54">
        <v>694.0</v>
      </c>
      <c r="E309" s="54">
        <v>1201518.0</v>
      </c>
      <c r="F309" s="54">
        <v>730.0</v>
      </c>
      <c r="G309" s="54">
        <v>1200533.0</v>
      </c>
      <c r="H309" s="55">
        <v>724.0</v>
      </c>
      <c r="I309" s="54">
        <v>1211000.0</v>
      </c>
      <c r="J309" s="42">
        <v>646.0</v>
      </c>
      <c r="K309" s="42">
        <v>236305.0</v>
      </c>
      <c r="L309" s="32">
        <f t="shared" si="1"/>
        <v>-6.916426513</v>
      </c>
      <c r="M309" s="32">
        <f t="shared" si="2"/>
        <v>-11.50684932</v>
      </c>
      <c r="N309" s="32">
        <f t="shared" si="3"/>
        <v>-10.77348066</v>
      </c>
    </row>
    <row r="310">
      <c r="A310" s="42" t="s">
        <v>158</v>
      </c>
      <c r="B310" s="42">
        <v>10.0</v>
      </c>
      <c r="C310" s="42">
        <v>7.0</v>
      </c>
      <c r="D310" s="54">
        <v>706.0</v>
      </c>
      <c r="E310" s="54">
        <v>1202231.0</v>
      </c>
      <c r="F310" s="54">
        <v>736.0</v>
      </c>
      <c r="G310" s="54">
        <v>1081102.0</v>
      </c>
      <c r="H310" s="55">
        <v>727.0</v>
      </c>
      <c r="I310" s="54">
        <v>1211000.0</v>
      </c>
      <c r="J310" s="42">
        <v>649.0</v>
      </c>
      <c r="K310" s="42">
        <v>233698.0</v>
      </c>
      <c r="L310" s="32">
        <f t="shared" si="1"/>
        <v>-8.073654391</v>
      </c>
      <c r="M310" s="32">
        <f t="shared" si="2"/>
        <v>-11.82065217</v>
      </c>
      <c r="N310" s="32">
        <f t="shared" si="3"/>
        <v>-10.72902338</v>
      </c>
    </row>
    <row r="311">
      <c r="A311" s="42" t="s">
        <v>158</v>
      </c>
      <c r="B311" s="42">
        <v>10.0</v>
      </c>
      <c r="C311" s="42">
        <v>8.0</v>
      </c>
      <c r="D311" s="54">
        <v>707.0</v>
      </c>
      <c r="E311" s="54">
        <v>1201524.0</v>
      </c>
      <c r="F311" s="54">
        <v>735.0</v>
      </c>
      <c r="G311" s="54">
        <v>1201092.0</v>
      </c>
      <c r="H311" s="55">
        <v>725.0</v>
      </c>
      <c r="I311" s="54">
        <v>1211000.0</v>
      </c>
      <c r="J311" s="42">
        <v>647.0</v>
      </c>
      <c r="K311" s="42">
        <v>235242.0</v>
      </c>
      <c r="L311" s="32">
        <f t="shared" si="1"/>
        <v>-8.486562942</v>
      </c>
      <c r="M311" s="32">
        <f t="shared" si="2"/>
        <v>-11.97278912</v>
      </c>
      <c r="N311" s="32">
        <f t="shared" si="3"/>
        <v>-10.75862069</v>
      </c>
    </row>
    <row r="312">
      <c r="A312" s="42" t="s">
        <v>158</v>
      </c>
      <c r="B312" s="42">
        <v>10.0</v>
      </c>
      <c r="C312" s="42">
        <v>9.0</v>
      </c>
      <c r="D312" s="54">
        <v>704.0</v>
      </c>
      <c r="E312" s="54">
        <v>1202215.0</v>
      </c>
      <c r="F312" s="54">
        <v>731.0</v>
      </c>
      <c r="G312" s="54">
        <v>1201565.0</v>
      </c>
      <c r="H312" s="55">
        <v>725.0</v>
      </c>
      <c r="I312" s="54">
        <v>1211000.0</v>
      </c>
      <c r="J312" s="42">
        <v>645.0</v>
      </c>
      <c r="K312" s="42">
        <v>270766.0</v>
      </c>
      <c r="L312" s="32">
        <f t="shared" si="1"/>
        <v>-8.380681818</v>
      </c>
      <c r="M312" s="32">
        <f t="shared" si="2"/>
        <v>-11.76470588</v>
      </c>
      <c r="N312" s="32">
        <f t="shared" si="3"/>
        <v>-11.03448276</v>
      </c>
    </row>
    <row r="313">
      <c r="A313" s="42" t="s">
        <v>158</v>
      </c>
      <c r="B313" s="42">
        <v>10.0</v>
      </c>
      <c r="C313" s="42">
        <v>10.0</v>
      </c>
      <c r="D313" s="54">
        <v>702.0</v>
      </c>
      <c r="E313" s="54">
        <v>1202255.0</v>
      </c>
      <c r="F313" s="54">
        <v>736.0</v>
      </c>
      <c r="G313" s="54">
        <v>1201165.0</v>
      </c>
      <c r="H313" s="55">
        <v>724.0</v>
      </c>
      <c r="I313" s="54">
        <v>1211000.0</v>
      </c>
      <c r="J313" s="42">
        <v>646.0</v>
      </c>
      <c r="K313" s="42">
        <v>246701.0</v>
      </c>
      <c r="L313" s="32">
        <f t="shared" si="1"/>
        <v>-7.977207977</v>
      </c>
      <c r="M313" s="32">
        <f t="shared" si="2"/>
        <v>-12.22826087</v>
      </c>
      <c r="N313" s="32">
        <f t="shared" si="3"/>
        <v>-10.77348066</v>
      </c>
    </row>
    <row r="314">
      <c r="A314" s="42" t="s">
        <v>158</v>
      </c>
      <c r="B314" s="42">
        <v>14.0</v>
      </c>
      <c r="C314" s="42">
        <v>1.0</v>
      </c>
      <c r="D314" s="54">
        <v>742.0</v>
      </c>
      <c r="E314" s="54">
        <v>1201792.0</v>
      </c>
      <c r="F314" s="54">
        <v>772.0</v>
      </c>
      <c r="G314" s="54">
        <v>1201148.0</v>
      </c>
      <c r="H314" s="55">
        <v>758.0</v>
      </c>
      <c r="I314" s="54">
        <v>1211000.0</v>
      </c>
      <c r="J314" s="42">
        <v>709.0</v>
      </c>
      <c r="K314" s="42">
        <v>296148.0</v>
      </c>
      <c r="L314" s="32">
        <f t="shared" si="1"/>
        <v>-4.447439353</v>
      </c>
      <c r="M314" s="32">
        <f t="shared" si="2"/>
        <v>-8.160621762</v>
      </c>
      <c r="N314" s="32">
        <f t="shared" si="3"/>
        <v>-6.464379947</v>
      </c>
    </row>
    <row r="315">
      <c r="A315" s="42" t="s">
        <v>158</v>
      </c>
      <c r="B315" s="42">
        <v>14.0</v>
      </c>
      <c r="C315" s="42">
        <v>2.0</v>
      </c>
      <c r="D315" s="54">
        <v>745.0</v>
      </c>
      <c r="E315" s="54">
        <v>1201568.0</v>
      </c>
      <c r="F315" s="54">
        <v>773.0</v>
      </c>
      <c r="G315" s="54">
        <v>1201365.0</v>
      </c>
      <c r="H315" s="55">
        <v>755.0</v>
      </c>
      <c r="I315" s="54">
        <v>1211000.0</v>
      </c>
      <c r="J315" s="42">
        <v>708.0</v>
      </c>
      <c r="K315" s="42">
        <v>301980.0</v>
      </c>
      <c r="L315" s="32">
        <f t="shared" si="1"/>
        <v>-4.966442953</v>
      </c>
      <c r="M315" s="32">
        <f t="shared" si="2"/>
        <v>-8.408796895</v>
      </c>
      <c r="N315" s="32">
        <f t="shared" si="3"/>
        <v>-6.225165563</v>
      </c>
    </row>
    <row r="316">
      <c r="A316" s="42" t="s">
        <v>158</v>
      </c>
      <c r="B316" s="42">
        <v>14.0</v>
      </c>
      <c r="C316" s="42">
        <v>3.0</v>
      </c>
      <c r="D316" s="54">
        <v>744.0</v>
      </c>
      <c r="E316" s="54">
        <v>1202102.0</v>
      </c>
      <c r="F316" s="54">
        <v>775.0</v>
      </c>
      <c r="G316" s="54">
        <v>1201285.0</v>
      </c>
      <c r="H316" s="55">
        <v>760.0</v>
      </c>
      <c r="I316" s="54">
        <v>1211000.0</v>
      </c>
      <c r="J316" s="42">
        <v>711.0</v>
      </c>
      <c r="K316" s="42">
        <v>301144.0</v>
      </c>
      <c r="L316" s="32">
        <f t="shared" si="1"/>
        <v>-4.435483871</v>
      </c>
      <c r="M316" s="32">
        <f t="shared" si="2"/>
        <v>-8.258064516</v>
      </c>
      <c r="N316" s="32">
        <f t="shared" si="3"/>
        <v>-6.447368421</v>
      </c>
    </row>
    <row r="317">
      <c r="A317" s="42" t="s">
        <v>158</v>
      </c>
      <c r="B317" s="42">
        <v>14.0</v>
      </c>
      <c r="C317" s="42">
        <v>4.0</v>
      </c>
      <c r="D317" s="54">
        <v>744.0</v>
      </c>
      <c r="E317" s="54">
        <v>1200180.0</v>
      </c>
      <c r="F317" s="54">
        <v>774.0</v>
      </c>
      <c r="G317" s="54">
        <v>1200978.0</v>
      </c>
      <c r="H317" s="55">
        <v>758.0</v>
      </c>
      <c r="I317" s="54">
        <v>1211000.0</v>
      </c>
      <c r="J317" s="42">
        <v>713.0</v>
      </c>
      <c r="K317" s="42">
        <v>298305.0</v>
      </c>
      <c r="L317" s="32">
        <f t="shared" si="1"/>
        <v>-4.166666667</v>
      </c>
      <c r="M317" s="32">
        <f t="shared" si="2"/>
        <v>-7.881136951</v>
      </c>
      <c r="N317" s="32">
        <f t="shared" si="3"/>
        <v>-5.936675462</v>
      </c>
    </row>
    <row r="318">
      <c r="A318" s="42" t="s">
        <v>158</v>
      </c>
      <c r="B318" s="42">
        <v>14.0</v>
      </c>
      <c r="C318" s="42">
        <v>5.0</v>
      </c>
      <c r="D318" s="54">
        <v>745.0</v>
      </c>
      <c r="E318" s="54">
        <v>1201001.0</v>
      </c>
      <c r="F318" s="54">
        <v>773.0</v>
      </c>
      <c r="G318" s="54">
        <v>1081706.0</v>
      </c>
      <c r="H318" s="55">
        <v>759.0</v>
      </c>
      <c r="I318" s="54">
        <v>1211000.0</v>
      </c>
      <c r="J318" s="42">
        <v>717.0</v>
      </c>
      <c r="K318" s="42">
        <v>307027.0</v>
      </c>
      <c r="L318" s="32">
        <f t="shared" si="1"/>
        <v>-3.758389262</v>
      </c>
      <c r="M318" s="32">
        <f t="shared" si="2"/>
        <v>-7.24450194</v>
      </c>
      <c r="N318" s="32">
        <f t="shared" si="3"/>
        <v>-5.533596838</v>
      </c>
    </row>
    <row r="319">
      <c r="A319" s="42" t="s">
        <v>158</v>
      </c>
      <c r="B319" s="42">
        <v>14.0</v>
      </c>
      <c r="C319" s="42">
        <v>6.0</v>
      </c>
      <c r="D319" s="54">
        <v>743.0</v>
      </c>
      <c r="E319" s="54">
        <v>1199926.0</v>
      </c>
      <c r="F319" s="54">
        <v>774.0</v>
      </c>
      <c r="G319" s="54">
        <v>1081251.0</v>
      </c>
      <c r="H319" s="55">
        <v>759.0</v>
      </c>
      <c r="I319" s="54">
        <v>1211000.0</v>
      </c>
      <c r="J319" s="42">
        <v>713.0</v>
      </c>
      <c r="K319" s="42">
        <v>329663.0</v>
      </c>
      <c r="L319" s="32">
        <f t="shared" si="1"/>
        <v>-4.037685061</v>
      </c>
      <c r="M319" s="32">
        <f t="shared" si="2"/>
        <v>-7.881136951</v>
      </c>
      <c r="N319" s="32">
        <f t="shared" si="3"/>
        <v>-6.060606061</v>
      </c>
    </row>
    <row r="320">
      <c r="A320" s="42" t="s">
        <v>158</v>
      </c>
      <c r="B320" s="42">
        <v>14.0</v>
      </c>
      <c r="C320" s="42">
        <v>7.0</v>
      </c>
      <c r="D320" s="54">
        <v>748.0</v>
      </c>
      <c r="E320" s="54">
        <v>1199999.0</v>
      </c>
      <c r="F320" s="54">
        <v>775.0</v>
      </c>
      <c r="G320" s="54">
        <v>1081394.0</v>
      </c>
      <c r="H320" s="55">
        <v>757.0</v>
      </c>
      <c r="I320" s="54">
        <v>1211000.0</v>
      </c>
      <c r="J320" s="42">
        <v>710.0</v>
      </c>
      <c r="K320" s="42">
        <v>298954.0</v>
      </c>
      <c r="L320" s="32">
        <f t="shared" si="1"/>
        <v>-5.080213904</v>
      </c>
      <c r="M320" s="32">
        <f t="shared" si="2"/>
        <v>-8.387096774</v>
      </c>
      <c r="N320" s="32">
        <f t="shared" si="3"/>
        <v>-6.208718626</v>
      </c>
    </row>
    <row r="321">
      <c r="A321" s="42" t="s">
        <v>158</v>
      </c>
      <c r="B321" s="42">
        <v>14.0</v>
      </c>
      <c r="C321" s="42">
        <v>8.0</v>
      </c>
      <c r="D321" s="54">
        <v>745.0</v>
      </c>
      <c r="E321" s="54">
        <v>1200669.0</v>
      </c>
      <c r="F321" s="54">
        <v>774.0</v>
      </c>
      <c r="G321" s="54">
        <v>1200618.0</v>
      </c>
      <c r="H321" s="55">
        <v>759.0</v>
      </c>
      <c r="I321" s="54">
        <v>1211000.0</v>
      </c>
      <c r="J321" s="42">
        <v>711.0</v>
      </c>
      <c r="K321" s="42">
        <v>305499.0</v>
      </c>
      <c r="L321" s="32">
        <f t="shared" si="1"/>
        <v>-4.563758389</v>
      </c>
      <c r="M321" s="32">
        <f t="shared" si="2"/>
        <v>-8.139534884</v>
      </c>
      <c r="N321" s="32">
        <f t="shared" si="3"/>
        <v>-6.324110672</v>
      </c>
    </row>
    <row r="322">
      <c r="A322" s="42" t="s">
        <v>158</v>
      </c>
      <c r="B322" s="42">
        <v>14.0</v>
      </c>
      <c r="C322" s="42">
        <v>9.0</v>
      </c>
      <c r="D322" s="54">
        <v>749.0</v>
      </c>
      <c r="E322" s="54">
        <v>1200453.0</v>
      </c>
      <c r="F322" s="54">
        <v>770.0</v>
      </c>
      <c r="G322" s="54">
        <v>1081463.0</v>
      </c>
      <c r="H322" s="55">
        <v>758.0</v>
      </c>
      <c r="I322" s="54">
        <v>1211000.0</v>
      </c>
      <c r="J322" s="42">
        <v>713.0</v>
      </c>
      <c r="K322" s="42">
        <v>298243.0</v>
      </c>
      <c r="L322" s="32">
        <f t="shared" si="1"/>
        <v>-4.806408545</v>
      </c>
      <c r="M322" s="32">
        <f t="shared" si="2"/>
        <v>-7.402597403</v>
      </c>
      <c r="N322" s="32">
        <f t="shared" si="3"/>
        <v>-5.936675462</v>
      </c>
    </row>
    <row r="323">
      <c r="A323" s="42" t="s">
        <v>158</v>
      </c>
      <c r="B323" s="42">
        <v>14.0</v>
      </c>
      <c r="C323" s="42">
        <v>10.0</v>
      </c>
      <c r="D323" s="54">
        <v>745.0</v>
      </c>
      <c r="E323" s="54">
        <v>1202420.0</v>
      </c>
      <c r="F323" s="54">
        <v>773.0</v>
      </c>
      <c r="G323" s="54">
        <v>1200513.0</v>
      </c>
      <c r="H323" s="55">
        <v>757.0</v>
      </c>
      <c r="I323" s="54">
        <v>1211000.0</v>
      </c>
      <c r="J323" s="42">
        <v>708.0</v>
      </c>
      <c r="K323" s="42">
        <v>298145.0</v>
      </c>
      <c r="L323" s="32">
        <f t="shared" si="1"/>
        <v>-4.966442953</v>
      </c>
      <c r="M323" s="32">
        <f t="shared" si="2"/>
        <v>-8.408796895</v>
      </c>
      <c r="N323" s="32">
        <f t="shared" si="3"/>
        <v>-6.472919419</v>
      </c>
    </row>
    <row r="324">
      <c r="A324" s="42" t="s">
        <v>158</v>
      </c>
      <c r="B324" s="42">
        <v>18.0</v>
      </c>
      <c r="C324" s="42">
        <v>1.0</v>
      </c>
      <c r="D324" s="54">
        <v>767.0</v>
      </c>
      <c r="E324" s="54">
        <v>1202204.0</v>
      </c>
      <c r="F324" s="54">
        <v>787.0</v>
      </c>
      <c r="G324" s="54">
        <v>1081435.0</v>
      </c>
      <c r="H324" s="55">
        <v>773.0</v>
      </c>
      <c r="I324" s="54">
        <v>1211000.0</v>
      </c>
      <c r="J324" s="42">
        <v>743.0</v>
      </c>
      <c r="K324" s="42">
        <v>354436.0</v>
      </c>
      <c r="L324" s="32">
        <f t="shared" si="1"/>
        <v>-3.129074316</v>
      </c>
      <c r="M324" s="32">
        <f t="shared" si="2"/>
        <v>-5.590851334</v>
      </c>
      <c r="N324" s="32">
        <f t="shared" si="3"/>
        <v>-3.880983182</v>
      </c>
    </row>
    <row r="325">
      <c r="A325" s="42" t="s">
        <v>158</v>
      </c>
      <c r="B325" s="42">
        <v>18.0</v>
      </c>
      <c r="C325" s="42">
        <v>2.0</v>
      </c>
      <c r="D325" s="54">
        <v>765.0</v>
      </c>
      <c r="E325" s="54">
        <v>1202032.0</v>
      </c>
      <c r="F325" s="54">
        <v>784.0</v>
      </c>
      <c r="G325" s="54">
        <v>1201476.0</v>
      </c>
      <c r="H325" s="55">
        <v>773.0</v>
      </c>
      <c r="I325" s="54">
        <v>1211000.0</v>
      </c>
      <c r="J325" s="42">
        <v>743.0</v>
      </c>
      <c r="K325" s="42">
        <v>353732.0</v>
      </c>
      <c r="L325" s="32">
        <f t="shared" si="1"/>
        <v>-2.875816993</v>
      </c>
      <c r="M325" s="32">
        <f t="shared" si="2"/>
        <v>-5.229591837</v>
      </c>
      <c r="N325" s="32">
        <f t="shared" si="3"/>
        <v>-3.880983182</v>
      </c>
    </row>
    <row r="326">
      <c r="A326" s="42" t="s">
        <v>158</v>
      </c>
      <c r="B326" s="42">
        <v>18.0</v>
      </c>
      <c r="C326" s="42">
        <v>3.0</v>
      </c>
      <c r="D326" s="54">
        <v>763.0</v>
      </c>
      <c r="E326" s="54">
        <v>1202913.0</v>
      </c>
      <c r="F326" s="54">
        <v>786.0</v>
      </c>
      <c r="G326" s="54">
        <v>1201431.0</v>
      </c>
      <c r="H326" s="55">
        <v>773.0</v>
      </c>
      <c r="I326" s="54">
        <v>1211000.0</v>
      </c>
      <c r="J326" s="42">
        <v>744.0</v>
      </c>
      <c r="K326" s="42">
        <v>357126.0</v>
      </c>
      <c r="L326" s="32">
        <f t="shared" si="1"/>
        <v>-2.49017038</v>
      </c>
      <c r="M326" s="32">
        <f t="shared" si="2"/>
        <v>-5.34351145</v>
      </c>
      <c r="N326" s="32">
        <f t="shared" si="3"/>
        <v>-3.751617076</v>
      </c>
    </row>
    <row r="327">
      <c r="A327" s="42" t="s">
        <v>158</v>
      </c>
      <c r="B327" s="42">
        <v>18.0</v>
      </c>
      <c r="C327" s="42">
        <v>4.0</v>
      </c>
      <c r="D327" s="54">
        <v>764.0</v>
      </c>
      <c r="E327" s="54">
        <v>1202686.0</v>
      </c>
      <c r="F327" s="54">
        <v>784.0</v>
      </c>
      <c r="G327" s="54">
        <v>1201428.0</v>
      </c>
      <c r="H327" s="55">
        <v>774.0</v>
      </c>
      <c r="I327" s="54">
        <v>1211000.0</v>
      </c>
      <c r="J327" s="42">
        <v>744.0</v>
      </c>
      <c r="K327" s="42">
        <v>355548.0</v>
      </c>
      <c r="L327" s="32">
        <f t="shared" si="1"/>
        <v>-2.617801047</v>
      </c>
      <c r="M327" s="32">
        <f t="shared" si="2"/>
        <v>-5.102040816</v>
      </c>
      <c r="N327" s="32">
        <f t="shared" si="3"/>
        <v>-3.875968992</v>
      </c>
    </row>
    <row r="328">
      <c r="A328" s="42" t="s">
        <v>158</v>
      </c>
      <c r="B328" s="42">
        <v>18.0</v>
      </c>
      <c r="C328" s="42">
        <v>5.0</v>
      </c>
      <c r="D328" s="54">
        <v>763.0</v>
      </c>
      <c r="E328" s="54">
        <v>1203088.0</v>
      </c>
      <c r="F328" s="54">
        <v>785.0</v>
      </c>
      <c r="G328" s="54">
        <v>1200922.0</v>
      </c>
      <c r="H328" s="55">
        <v>773.0</v>
      </c>
      <c r="I328" s="54">
        <v>1211000.0</v>
      </c>
      <c r="J328" s="42">
        <v>745.0</v>
      </c>
      <c r="K328" s="42">
        <v>365349.0</v>
      </c>
      <c r="L328" s="32">
        <f t="shared" si="1"/>
        <v>-2.359108781</v>
      </c>
      <c r="M328" s="32">
        <f t="shared" si="2"/>
        <v>-5.095541401</v>
      </c>
      <c r="N328" s="32">
        <f t="shared" si="3"/>
        <v>-3.62225097</v>
      </c>
    </row>
    <row r="329">
      <c r="A329" s="42" t="s">
        <v>158</v>
      </c>
      <c r="B329" s="42">
        <v>18.0</v>
      </c>
      <c r="C329" s="42">
        <v>6.0</v>
      </c>
      <c r="D329" s="54">
        <v>765.0</v>
      </c>
      <c r="E329" s="54">
        <v>1201791.0</v>
      </c>
      <c r="F329" s="54">
        <v>783.0</v>
      </c>
      <c r="G329" s="54">
        <v>1081651.0</v>
      </c>
      <c r="H329" s="55">
        <v>772.0</v>
      </c>
      <c r="I329" s="54">
        <v>1211000.0</v>
      </c>
      <c r="J329" s="42">
        <v>742.0</v>
      </c>
      <c r="K329" s="42">
        <v>358987.0</v>
      </c>
      <c r="L329" s="32">
        <f t="shared" si="1"/>
        <v>-3.006535948</v>
      </c>
      <c r="M329" s="32">
        <f t="shared" si="2"/>
        <v>-5.236270754</v>
      </c>
      <c r="N329" s="32">
        <f t="shared" si="3"/>
        <v>-3.886010363</v>
      </c>
    </row>
    <row r="330">
      <c r="A330" s="42" t="s">
        <v>158</v>
      </c>
      <c r="B330" s="42">
        <v>18.0</v>
      </c>
      <c r="C330" s="42">
        <v>7.0</v>
      </c>
      <c r="D330" s="54">
        <v>762.0</v>
      </c>
      <c r="E330" s="54">
        <v>1202202.0</v>
      </c>
      <c r="F330" s="54">
        <v>786.0</v>
      </c>
      <c r="G330" s="54">
        <v>1081436.0</v>
      </c>
      <c r="H330" s="55">
        <v>773.0</v>
      </c>
      <c r="I330" s="54">
        <v>1211000.0</v>
      </c>
      <c r="J330" s="42">
        <v>741.0</v>
      </c>
      <c r="K330" s="42">
        <v>360439.0</v>
      </c>
      <c r="L330" s="32">
        <f t="shared" si="1"/>
        <v>-2.755905512</v>
      </c>
      <c r="M330" s="32">
        <f t="shared" si="2"/>
        <v>-5.72519084</v>
      </c>
      <c r="N330" s="32">
        <f t="shared" si="3"/>
        <v>-4.139715395</v>
      </c>
    </row>
    <row r="331">
      <c r="A331" s="42" t="s">
        <v>158</v>
      </c>
      <c r="B331" s="42">
        <v>18.0</v>
      </c>
      <c r="C331" s="42">
        <v>8.0</v>
      </c>
      <c r="D331" s="54">
        <v>765.0</v>
      </c>
      <c r="E331" s="54">
        <v>1201044.0</v>
      </c>
      <c r="F331" s="54">
        <v>785.0</v>
      </c>
      <c r="G331" s="54">
        <v>1081647.0</v>
      </c>
      <c r="H331" s="55">
        <v>770.0</v>
      </c>
      <c r="I331" s="54">
        <v>1210000.0</v>
      </c>
      <c r="J331" s="42">
        <v>744.0</v>
      </c>
      <c r="K331" s="42">
        <v>353451.0</v>
      </c>
      <c r="L331" s="32">
        <f t="shared" si="1"/>
        <v>-2.745098039</v>
      </c>
      <c r="M331" s="32">
        <f t="shared" si="2"/>
        <v>-5.222929936</v>
      </c>
      <c r="N331" s="32">
        <f t="shared" si="3"/>
        <v>-3.376623377</v>
      </c>
    </row>
    <row r="332">
      <c r="A332" s="42" t="s">
        <v>158</v>
      </c>
      <c r="B332" s="42">
        <v>18.0</v>
      </c>
      <c r="C332" s="42">
        <v>9.0</v>
      </c>
      <c r="D332" s="54">
        <v>764.0</v>
      </c>
      <c r="E332" s="54">
        <v>1201070.0</v>
      </c>
      <c r="F332" s="54">
        <v>783.0</v>
      </c>
      <c r="G332" s="54">
        <v>1201426.0</v>
      </c>
      <c r="H332" s="55">
        <v>773.0</v>
      </c>
      <c r="I332" s="54">
        <v>1211000.0</v>
      </c>
      <c r="J332" s="42">
        <v>745.0</v>
      </c>
      <c r="K332" s="42">
        <v>362769.0</v>
      </c>
      <c r="L332" s="32">
        <f t="shared" si="1"/>
        <v>-2.486910995</v>
      </c>
      <c r="M332" s="32">
        <f t="shared" si="2"/>
        <v>-4.853128991</v>
      </c>
      <c r="N332" s="32">
        <f t="shared" si="3"/>
        <v>-3.62225097</v>
      </c>
    </row>
    <row r="333">
      <c r="A333" s="42" t="s">
        <v>158</v>
      </c>
      <c r="B333" s="42">
        <v>18.0</v>
      </c>
      <c r="C333" s="42">
        <v>10.0</v>
      </c>
      <c r="D333" s="54">
        <v>764.0</v>
      </c>
      <c r="E333" s="54">
        <v>1200418.0</v>
      </c>
      <c r="F333" s="54">
        <v>786.0</v>
      </c>
      <c r="G333" s="54">
        <v>1201550.0</v>
      </c>
      <c r="H333" s="55">
        <v>772.0</v>
      </c>
      <c r="I333" s="54">
        <v>1211000.0</v>
      </c>
      <c r="J333" s="42">
        <v>744.0</v>
      </c>
      <c r="K333" s="42">
        <v>358895.0</v>
      </c>
      <c r="L333" s="32">
        <f t="shared" si="1"/>
        <v>-2.617801047</v>
      </c>
      <c r="M333" s="32">
        <f t="shared" si="2"/>
        <v>-5.34351145</v>
      </c>
      <c r="N333" s="32">
        <f t="shared" si="3"/>
        <v>-3.626943005</v>
      </c>
    </row>
    <row r="334">
      <c r="A334" s="42" t="s">
        <v>158</v>
      </c>
      <c r="B334" s="42">
        <v>20.0</v>
      </c>
      <c r="C334" s="42">
        <v>1.0</v>
      </c>
      <c r="D334" s="54">
        <v>771.0</v>
      </c>
      <c r="E334" s="54">
        <v>1201120.0</v>
      </c>
      <c r="F334" s="54">
        <v>786.0</v>
      </c>
      <c r="G334" s="54">
        <v>1201602.0</v>
      </c>
      <c r="H334" s="55">
        <v>776.0</v>
      </c>
      <c r="I334" s="54">
        <v>1211000.0</v>
      </c>
      <c r="J334" s="42">
        <v>753.0</v>
      </c>
      <c r="K334" s="42">
        <v>391942.0</v>
      </c>
      <c r="L334" s="32">
        <f t="shared" si="1"/>
        <v>-2.33463035</v>
      </c>
      <c r="M334" s="32">
        <f t="shared" si="2"/>
        <v>-4.198473282</v>
      </c>
      <c r="N334" s="32">
        <f t="shared" si="3"/>
        <v>-2.963917526</v>
      </c>
    </row>
    <row r="335">
      <c r="A335" s="42" t="s">
        <v>158</v>
      </c>
      <c r="B335" s="42">
        <v>20.0</v>
      </c>
      <c r="C335" s="42">
        <v>2.0</v>
      </c>
      <c r="D335" s="54">
        <v>767.0</v>
      </c>
      <c r="E335" s="54">
        <v>1200600.0</v>
      </c>
      <c r="F335" s="54">
        <v>787.0</v>
      </c>
      <c r="G335" s="54">
        <v>1081388.0</v>
      </c>
      <c r="H335" s="55">
        <v>777.0</v>
      </c>
      <c r="I335" s="54">
        <v>1211000.0</v>
      </c>
      <c r="J335" s="42">
        <v>751.0</v>
      </c>
      <c r="K335" s="42">
        <v>370145.0</v>
      </c>
      <c r="L335" s="32">
        <f t="shared" si="1"/>
        <v>-2.086049544</v>
      </c>
      <c r="M335" s="32">
        <f t="shared" si="2"/>
        <v>-4.57433291</v>
      </c>
      <c r="N335" s="32">
        <f t="shared" si="3"/>
        <v>-3.346203346</v>
      </c>
    </row>
    <row r="336">
      <c r="A336" s="42" t="s">
        <v>158</v>
      </c>
      <c r="B336" s="42">
        <v>20.0</v>
      </c>
      <c r="C336" s="42">
        <v>3.0</v>
      </c>
      <c r="D336" s="54">
        <v>766.0</v>
      </c>
      <c r="E336" s="54">
        <v>1202850.0</v>
      </c>
      <c r="F336" s="54">
        <v>786.0</v>
      </c>
      <c r="G336" s="54">
        <v>1081358.0</v>
      </c>
      <c r="H336" s="55">
        <v>777.0</v>
      </c>
      <c r="I336" s="54">
        <v>1211000.0</v>
      </c>
      <c r="J336" s="42">
        <v>753.0</v>
      </c>
      <c r="K336" s="42">
        <v>391831.0</v>
      </c>
      <c r="L336" s="32">
        <f t="shared" si="1"/>
        <v>-1.697127937</v>
      </c>
      <c r="M336" s="32">
        <f t="shared" si="2"/>
        <v>-4.198473282</v>
      </c>
      <c r="N336" s="32">
        <f t="shared" si="3"/>
        <v>-3.088803089</v>
      </c>
    </row>
    <row r="337">
      <c r="A337" s="42" t="s">
        <v>158</v>
      </c>
      <c r="B337" s="42">
        <v>20.0</v>
      </c>
      <c r="C337" s="42">
        <v>4.0</v>
      </c>
      <c r="D337" s="54">
        <v>769.0</v>
      </c>
      <c r="E337" s="54">
        <v>1200231.0</v>
      </c>
      <c r="F337" s="54">
        <v>787.0</v>
      </c>
      <c r="G337" s="54">
        <v>1081252.0</v>
      </c>
      <c r="H337" s="55">
        <v>778.0</v>
      </c>
      <c r="I337" s="54">
        <v>1211000.0</v>
      </c>
      <c r="J337" s="42">
        <v>756.0</v>
      </c>
      <c r="K337" s="42">
        <v>394087.0</v>
      </c>
      <c r="L337" s="32">
        <f t="shared" si="1"/>
        <v>-1.690507152</v>
      </c>
      <c r="M337" s="32">
        <f t="shared" si="2"/>
        <v>-3.939008895</v>
      </c>
      <c r="N337" s="32">
        <f t="shared" si="3"/>
        <v>-2.827763496</v>
      </c>
    </row>
    <row r="338">
      <c r="A338" s="42" t="s">
        <v>158</v>
      </c>
      <c r="B338" s="42">
        <v>20.0</v>
      </c>
      <c r="C338" s="42">
        <v>5.0</v>
      </c>
      <c r="D338" s="54">
        <v>769.0</v>
      </c>
      <c r="E338" s="54">
        <v>1202402.0</v>
      </c>
      <c r="F338" s="54">
        <v>789.0</v>
      </c>
      <c r="G338" s="54">
        <v>1201320.0</v>
      </c>
      <c r="H338" s="55">
        <v>777.0</v>
      </c>
      <c r="I338" s="54">
        <v>1211000.0</v>
      </c>
      <c r="J338" s="42">
        <v>754.0</v>
      </c>
      <c r="K338" s="42">
        <v>390562.0</v>
      </c>
      <c r="L338" s="32">
        <f t="shared" si="1"/>
        <v>-1.950585176</v>
      </c>
      <c r="M338" s="32">
        <f t="shared" si="2"/>
        <v>-4.43599493</v>
      </c>
      <c r="N338" s="32">
        <f t="shared" si="3"/>
        <v>-2.96010296</v>
      </c>
    </row>
    <row r="339">
      <c r="A339" s="42" t="s">
        <v>158</v>
      </c>
      <c r="B339" s="42">
        <v>20.0</v>
      </c>
      <c r="C339" s="42">
        <v>6.0</v>
      </c>
      <c r="D339" s="54">
        <v>773.0</v>
      </c>
      <c r="E339" s="54">
        <v>1200742.0</v>
      </c>
      <c r="F339" s="54">
        <v>787.0</v>
      </c>
      <c r="G339" s="54">
        <v>1201430.0</v>
      </c>
      <c r="H339" s="55">
        <v>777.0</v>
      </c>
      <c r="I339" s="54">
        <v>1211000.0</v>
      </c>
      <c r="J339" s="42">
        <v>753.0</v>
      </c>
      <c r="K339" s="42">
        <v>390400.0</v>
      </c>
      <c r="L339" s="32">
        <f t="shared" si="1"/>
        <v>-2.587322122</v>
      </c>
      <c r="M339" s="32">
        <f t="shared" si="2"/>
        <v>-4.320203304</v>
      </c>
      <c r="N339" s="32">
        <f t="shared" si="3"/>
        <v>-3.088803089</v>
      </c>
    </row>
    <row r="340">
      <c r="A340" s="42" t="s">
        <v>158</v>
      </c>
      <c r="B340" s="42">
        <v>20.0</v>
      </c>
      <c r="C340" s="42">
        <v>7.0</v>
      </c>
      <c r="D340" s="54">
        <v>769.0</v>
      </c>
      <c r="E340" s="54">
        <v>1202381.0</v>
      </c>
      <c r="F340" s="54">
        <v>790.0</v>
      </c>
      <c r="G340" s="54">
        <v>1201013.0</v>
      </c>
      <c r="H340" s="55">
        <v>778.0</v>
      </c>
      <c r="I340" s="54">
        <v>1211000.0</v>
      </c>
      <c r="J340" s="42">
        <v>755.0</v>
      </c>
      <c r="K340" s="42">
        <v>376394.0</v>
      </c>
      <c r="L340" s="32">
        <f t="shared" si="1"/>
        <v>-1.820546164</v>
      </c>
      <c r="M340" s="32">
        <f t="shared" si="2"/>
        <v>-4.430379747</v>
      </c>
      <c r="N340" s="32">
        <f t="shared" si="3"/>
        <v>-2.956298201</v>
      </c>
    </row>
    <row r="341">
      <c r="A341" s="42" t="s">
        <v>158</v>
      </c>
      <c r="B341" s="42">
        <v>20.0</v>
      </c>
      <c r="C341" s="42">
        <v>8.0</v>
      </c>
      <c r="D341" s="54">
        <v>771.0</v>
      </c>
      <c r="E341" s="54">
        <v>1201653.0</v>
      </c>
      <c r="F341" s="54">
        <v>788.0</v>
      </c>
      <c r="G341" s="54">
        <v>1200991.0</v>
      </c>
      <c r="H341" s="55">
        <v>778.0</v>
      </c>
      <c r="I341" s="54">
        <v>1211000.0</v>
      </c>
      <c r="J341" s="42">
        <v>756.0</v>
      </c>
      <c r="K341" s="42">
        <v>385280.0</v>
      </c>
      <c r="L341" s="32">
        <f t="shared" si="1"/>
        <v>-1.945525292</v>
      </c>
      <c r="M341" s="32">
        <f t="shared" si="2"/>
        <v>-4.060913706</v>
      </c>
      <c r="N341" s="32">
        <f t="shared" si="3"/>
        <v>-2.827763496</v>
      </c>
    </row>
    <row r="342">
      <c r="A342" s="42" t="s">
        <v>158</v>
      </c>
      <c r="B342" s="42">
        <v>20.0</v>
      </c>
      <c r="C342" s="42">
        <v>9.0</v>
      </c>
      <c r="D342" s="54">
        <v>768.0</v>
      </c>
      <c r="E342" s="54">
        <v>1200667.0</v>
      </c>
      <c r="F342" s="54">
        <v>787.0</v>
      </c>
      <c r="G342" s="54">
        <v>1201510.0</v>
      </c>
      <c r="H342" s="55">
        <v>777.0</v>
      </c>
      <c r="I342" s="54">
        <v>1211000.0</v>
      </c>
      <c r="J342" s="42">
        <v>755.0</v>
      </c>
      <c r="K342" s="42">
        <v>395450.0</v>
      </c>
      <c r="L342" s="32">
        <f t="shared" si="1"/>
        <v>-1.692708333</v>
      </c>
      <c r="M342" s="32">
        <f t="shared" si="2"/>
        <v>-4.066073698</v>
      </c>
      <c r="N342" s="32">
        <f t="shared" si="3"/>
        <v>-2.831402831</v>
      </c>
    </row>
    <row r="343">
      <c r="A343" s="42" t="s">
        <v>158</v>
      </c>
      <c r="B343" s="42">
        <v>20.0</v>
      </c>
      <c r="C343" s="42">
        <v>10.0</v>
      </c>
      <c r="D343" s="54">
        <v>769.0</v>
      </c>
      <c r="E343" s="54">
        <v>1201039.0</v>
      </c>
      <c r="F343" s="54">
        <v>787.0</v>
      </c>
      <c r="G343" s="54">
        <v>1081716.0</v>
      </c>
      <c r="H343" s="55">
        <v>776.0</v>
      </c>
      <c r="I343" s="54">
        <v>1211000.0</v>
      </c>
      <c r="J343" s="42">
        <v>752.0</v>
      </c>
      <c r="K343" s="42">
        <v>376686.0</v>
      </c>
      <c r="L343" s="32">
        <f t="shared" si="1"/>
        <v>-2.210663199</v>
      </c>
      <c r="M343" s="32">
        <f t="shared" si="2"/>
        <v>-4.447268107</v>
      </c>
      <c r="N343" s="32">
        <f t="shared" si="3"/>
        <v>-3.092783505</v>
      </c>
    </row>
    <row r="344">
      <c r="A344" s="42" t="s">
        <v>158</v>
      </c>
      <c r="B344" s="42">
        <v>24.0</v>
      </c>
      <c r="C344" s="42">
        <v>1.0</v>
      </c>
      <c r="D344" s="54">
        <v>780.0</v>
      </c>
      <c r="E344" s="54">
        <v>1202626.0</v>
      </c>
      <c r="F344" s="54">
        <v>790.0</v>
      </c>
      <c r="G344" s="54">
        <v>1201330.0</v>
      </c>
      <c r="H344" s="55">
        <v>783.0</v>
      </c>
      <c r="I344" s="54">
        <v>1211000.0</v>
      </c>
      <c r="J344" s="42">
        <v>768.0</v>
      </c>
      <c r="K344" s="42">
        <v>447869.0</v>
      </c>
      <c r="L344" s="32">
        <f t="shared" si="1"/>
        <v>-1.538461538</v>
      </c>
      <c r="M344" s="32">
        <f t="shared" si="2"/>
        <v>-2.784810127</v>
      </c>
      <c r="N344" s="32">
        <f t="shared" si="3"/>
        <v>-1.915708812</v>
      </c>
    </row>
    <row r="345">
      <c r="A345" s="42" t="s">
        <v>158</v>
      </c>
      <c r="B345" s="42">
        <v>24.0</v>
      </c>
      <c r="C345" s="42">
        <v>2.0</v>
      </c>
      <c r="D345" s="54">
        <v>778.0</v>
      </c>
      <c r="E345" s="54">
        <v>1200373.0</v>
      </c>
      <c r="F345" s="54">
        <v>790.0</v>
      </c>
      <c r="G345" s="54">
        <v>1201585.0</v>
      </c>
      <c r="H345" s="55">
        <v>783.0</v>
      </c>
      <c r="I345" s="54">
        <v>1211000.0</v>
      </c>
      <c r="J345" s="42">
        <v>769.0</v>
      </c>
      <c r="K345" s="42">
        <v>443459.0</v>
      </c>
      <c r="L345" s="32">
        <f t="shared" si="1"/>
        <v>-1.156812339</v>
      </c>
      <c r="M345" s="32">
        <f t="shared" si="2"/>
        <v>-2.658227848</v>
      </c>
      <c r="N345" s="32">
        <f t="shared" si="3"/>
        <v>-1.787994891</v>
      </c>
    </row>
    <row r="346">
      <c r="A346" s="42" t="s">
        <v>158</v>
      </c>
      <c r="B346" s="42">
        <v>24.0</v>
      </c>
      <c r="C346" s="42">
        <v>3.0</v>
      </c>
      <c r="D346" s="54">
        <v>779.0</v>
      </c>
      <c r="E346" s="54">
        <v>1200113.0</v>
      </c>
      <c r="F346" s="54">
        <v>788.0</v>
      </c>
      <c r="G346" s="54">
        <v>1201884.0</v>
      </c>
      <c r="H346" s="55">
        <v>783.0</v>
      </c>
      <c r="I346" s="54">
        <v>1211000.0</v>
      </c>
      <c r="J346" s="42">
        <v>766.0</v>
      </c>
      <c r="K346" s="42">
        <v>446341.0</v>
      </c>
      <c r="L346" s="32">
        <f t="shared" si="1"/>
        <v>-1.668806162</v>
      </c>
      <c r="M346" s="32">
        <f t="shared" si="2"/>
        <v>-2.791878173</v>
      </c>
      <c r="N346" s="32">
        <f t="shared" si="3"/>
        <v>-2.171136654</v>
      </c>
    </row>
    <row r="347">
      <c r="A347" s="42" t="s">
        <v>158</v>
      </c>
      <c r="B347" s="42">
        <v>24.0</v>
      </c>
      <c r="C347" s="42">
        <v>4.0</v>
      </c>
      <c r="D347" s="54">
        <v>777.0</v>
      </c>
      <c r="E347" s="54">
        <v>1201383.0</v>
      </c>
      <c r="F347" s="54">
        <v>791.0</v>
      </c>
      <c r="G347" s="54">
        <v>1201628.0</v>
      </c>
      <c r="H347" s="55">
        <v>782.0</v>
      </c>
      <c r="I347" s="54">
        <v>1211000.0</v>
      </c>
      <c r="J347" s="42">
        <v>768.0</v>
      </c>
      <c r="K347" s="42">
        <v>446947.0</v>
      </c>
      <c r="L347" s="32">
        <f t="shared" si="1"/>
        <v>-1.158301158</v>
      </c>
      <c r="M347" s="32">
        <f t="shared" si="2"/>
        <v>-2.907711757</v>
      </c>
      <c r="N347" s="32">
        <f t="shared" si="3"/>
        <v>-1.79028133</v>
      </c>
    </row>
    <row r="348">
      <c r="A348" s="42" t="s">
        <v>158</v>
      </c>
      <c r="B348" s="42">
        <v>24.0</v>
      </c>
      <c r="C348" s="42">
        <v>5.0</v>
      </c>
      <c r="D348" s="54">
        <v>779.0</v>
      </c>
      <c r="E348" s="54">
        <v>1200740.0</v>
      </c>
      <c r="F348" s="54">
        <v>790.0</v>
      </c>
      <c r="G348" s="54">
        <v>1201535.0</v>
      </c>
      <c r="H348" s="55">
        <v>783.0</v>
      </c>
      <c r="I348" s="54">
        <v>1211000.0</v>
      </c>
      <c r="J348" s="42">
        <v>767.0</v>
      </c>
      <c r="K348" s="42">
        <v>443055.0</v>
      </c>
      <c r="L348" s="32">
        <f t="shared" si="1"/>
        <v>-1.540436457</v>
      </c>
      <c r="M348" s="32">
        <f t="shared" si="2"/>
        <v>-2.911392405</v>
      </c>
      <c r="N348" s="32">
        <f t="shared" si="3"/>
        <v>-2.043422733</v>
      </c>
    </row>
    <row r="349">
      <c r="A349" s="42" t="s">
        <v>158</v>
      </c>
      <c r="B349" s="42">
        <v>24.0</v>
      </c>
      <c r="C349" s="42">
        <v>6.0</v>
      </c>
      <c r="D349" s="54">
        <v>779.0</v>
      </c>
      <c r="E349" s="54">
        <v>1201605.0</v>
      </c>
      <c r="F349" s="54">
        <v>791.0</v>
      </c>
      <c r="G349" s="54">
        <v>1201574.0</v>
      </c>
      <c r="H349" s="55">
        <v>783.0</v>
      </c>
      <c r="I349" s="54">
        <v>1212000.0</v>
      </c>
      <c r="J349" s="42">
        <v>768.0</v>
      </c>
      <c r="K349" s="42">
        <v>443093.0</v>
      </c>
      <c r="L349" s="32">
        <f t="shared" si="1"/>
        <v>-1.412066752</v>
      </c>
      <c r="M349" s="32">
        <f t="shared" si="2"/>
        <v>-2.907711757</v>
      </c>
      <c r="N349" s="32">
        <f t="shared" si="3"/>
        <v>-1.915708812</v>
      </c>
    </row>
    <row r="350">
      <c r="A350" s="42" t="s">
        <v>158</v>
      </c>
      <c r="B350" s="42">
        <v>24.0</v>
      </c>
      <c r="C350" s="42">
        <v>7.0</v>
      </c>
      <c r="D350" s="54">
        <v>778.0</v>
      </c>
      <c r="E350" s="54">
        <v>1200858.0</v>
      </c>
      <c r="F350" s="54">
        <v>790.0</v>
      </c>
      <c r="G350" s="54">
        <v>1201833.0</v>
      </c>
      <c r="H350" s="55">
        <v>782.0</v>
      </c>
      <c r="I350" s="54">
        <v>1211000.0</v>
      </c>
      <c r="J350" s="42">
        <v>766.0</v>
      </c>
      <c r="K350" s="42">
        <v>437588.0</v>
      </c>
      <c r="L350" s="32">
        <f t="shared" si="1"/>
        <v>-1.542416452</v>
      </c>
      <c r="M350" s="32">
        <f t="shared" si="2"/>
        <v>-3.037974684</v>
      </c>
      <c r="N350" s="32">
        <f t="shared" si="3"/>
        <v>-2.046035806</v>
      </c>
    </row>
    <row r="351">
      <c r="A351" s="42" t="s">
        <v>158</v>
      </c>
      <c r="B351" s="42">
        <v>24.0</v>
      </c>
      <c r="C351" s="42">
        <v>8.0</v>
      </c>
      <c r="D351" s="54">
        <v>780.0</v>
      </c>
      <c r="E351" s="54">
        <v>1201393.0</v>
      </c>
      <c r="F351" s="54">
        <v>789.0</v>
      </c>
      <c r="G351" s="54">
        <v>1201780.0</v>
      </c>
      <c r="H351" s="55">
        <v>783.0</v>
      </c>
      <c r="I351" s="54">
        <v>1211000.0</v>
      </c>
      <c r="J351" s="42">
        <v>767.0</v>
      </c>
      <c r="K351" s="42">
        <v>441422.0</v>
      </c>
      <c r="L351" s="32">
        <f t="shared" si="1"/>
        <v>-1.666666667</v>
      </c>
      <c r="M351" s="32">
        <f t="shared" si="2"/>
        <v>-2.78833967</v>
      </c>
      <c r="N351" s="32">
        <f t="shared" si="3"/>
        <v>-2.043422733</v>
      </c>
    </row>
    <row r="352">
      <c r="A352" s="42" t="s">
        <v>158</v>
      </c>
      <c r="B352" s="42">
        <v>24.0</v>
      </c>
      <c r="C352" s="42">
        <v>9.0</v>
      </c>
      <c r="D352" s="54">
        <v>774.0</v>
      </c>
      <c r="E352" s="54">
        <v>1199846.0</v>
      </c>
      <c r="F352" s="54">
        <v>790.0</v>
      </c>
      <c r="G352" s="54">
        <v>1201329.0</v>
      </c>
      <c r="H352" s="55">
        <v>783.0</v>
      </c>
      <c r="I352" s="54">
        <v>1211000.0</v>
      </c>
      <c r="J352" s="42">
        <v>768.0</v>
      </c>
      <c r="K352" s="42">
        <v>439343.0</v>
      </c>
      <c r="L352" s="32">
        <f t="shared" si="1"/>
        <v>-0.7751937984</v>
      </c>
      <c r="M352" s="32">
        <f t="shared" si="2"/>
        <v>-2.784810127</v>
      </c>
      <c r="N352" s="32">
        <f t="shared" si="3"/>
        <v>-1.915708812</v>
      </c>
    </row>
    <row r="353">
      <c r="A353" s="42" t="s">
        <v>158</v>
      </c>
      <c r="B353" s="42">
        <v>24.0</v>
      </c>
      <c r="C353" s="42">
        <v>10.0</v>
      </c>
      <c r="D353" s="54">
        <v>780.0</v>
      </c>
      <c r="E353" s="54">
        <v>1202112.0</v>
      </c>
      <c r="F353" s="54">
        <v>790.0</v>
      </c>
      <c r="G353" s="54">
        <v>1081672.0</v>
      </c>
      <c r="H353" s="55">
        <v>783.0</v>
      </c>
      <c r="I353" s="54">
        <v>1211000.0</v>
      </c>
      <c r="J353" s="42">
        <v>769.0</v>
      </c>
      <c r="K353" s="42">
        <v>467945.0</v>
      </c>
      <c r="L353" s="32">
        <f t="shared" si="1"/>
        <v>-1.41025641</v>
      </c>
      <c r="M353" s="32">
        <f t="shared" si="2"/>
        <v>-2.658227848</v>
      </c>
      <c r="N353" s="32">
        <f t="shared" si="3"/>
        <v>-1.787994891</v>
      </c>
    </row>
    <row r="354">
      <c r="A354" s="42" t="s">
        <v>158</v>
      </c>
      <c r="B354" s="42">
        <v>28.0</v>
      </c>
      <c r="C354" s="42">
        <v>1.0</v>
      </c>
      <c r="D354" s="54">
        <v>784.0</v>
      </c>
      <c r="E354" s="54">
        <v>1202698.0</v>
      </c>
      <c r="F354" s="54">
        <v>792.0</v>
      </c>
      <c r="G354" s="54">
        <v>1201571.0</v>
      </c>
      <c r="H354" s="55">
        <v>788.0</v>
      </c>
      <c r="I354" s="54">
        <v>1211000.0</v>
      </c>
      <c r="J354" s="42">
        <v>776.0</v>
      </c>
      <c r="K354" s="42">
        <v>503183.0</v>
      </c>
      <c r="L354" s="32">
        <f t="shared" si="1"/>
        <v>-1.020408163</v>
      </c>
      <c r="M354" s="32">
        <f t="shared" si="2"/>
        <v>-2.02020202</v>
      </c>
      <c r="N354" s="32">
        <f t="shared" si="3"/>
        <v>-1.52284264</v>
      </c>
    </row>
    <row r="355">
      <c r="A355" s="42" t="s">
        <v>158</v>
      </c>
      <c r="B355" s="42">
        <v>28.0</v>
      </c>
      <c r="C355" s="42">
        <v>2.0</v>
      </c>
      <c r="D355" s="54">
        <v>780.0</v>
      </c>
      <c r="E355" s="54">
        <v>1200683.0</v>
      </c>
      <c r="F355" s="54">
        <v>791.0</v>
      </c>
      <c r="G355" s="54">
        <v>1201811.0</v>
      </c>
      <c r="H355" s="55">
        <v>787.0</v>
      </c>
      <c r="I355" s="54">
        <v>1211000.0</v>
      </c>
      <c r="J355" s="42">
        <v>777.0</v>
      </c>
      <c r="K355" s="42">
        <v>521469.0</v>
      </c>
      <c r="L355" s="32">
        <f t="shared" si="1"/>
        <v>-0.3846153846</v>
      </c>
      <c r="M355" s="32">
        <f t="shared" si="2"/>
        <v>-1.769911504</v>
      </c>
      <c r="N355" s="32">
        <f t="shared" si="3"/>
        <v>-1.27064803</v>
      </c>
    </row>
    <row r="356">
      <c r="A356" s="42" t="s">
        <v>158</v>
      </c>
      <c r="B356" s="42">
        <v>28.0</v>
      </c>
      <c r="C356" s="42">
        <v>3.0</v>
      </c>
      <c r="D356" s="54">
        <v>783.0</v>
      </c>
      <c r="E356" s="54">
        <v>1202125.0</v>
      </c>
      <c r="F356" s="54">
        <v>792.0</v>
      </c>
      <c r="G356" s="54">
        <v>1081303.0</v>
      </c>
      <c r="H356" s="55">
        <v>788.0</v>
      </c>
      <c r="I356" s="54">
        <v>1211000.0</v>
      </c>
      <c r="J356" s="42">
        <v>777.0</v>
      </c>
      <c r="K356" s="42">
        <v>497834.0</v>
      </c>
      <c r="L356" s="32">
        <f t="shared" si="1"/>
        <v>-0.7662835249</v>
      </c>
      <c r="M356" s="32">
        <f t="shared" si="2"/>
        <v>-1.893939394</v>
      </c>
      <c r="N356" s="32">
        <f t="shared" si="3"/>
        <v>-1.395939086</v>
      </c>
    </row>
    <row r="357">
      <c r="A357" s="42" t="s">
        <v>158</v>
      </c>
      <c r="B357" s="42">
        <v>28.0</v>
      </c>
      <c r="C357" s="42">
        <v>4.0</v>
      </c>
      <c r="D357" s="54">
        <v>783.0</v>
      </c>
      <c r="E357" s="54">
        <v>1200246.0</v>
      </c>
      <c r="F357" s="54">
        <v>793.0</v>
      </c>
      <c r="G357" s="54">
        <v>1201296.0</v>
      </c>
      <c r="H357" s="55">
        <v>786.0</v>
      </c>
      <c r="I357" s="54">
        <v>1211000.0</v>
      </c>
      <c r="J357" s="42">
        <v>777.0</v>
      </c>
      <c r="K357" s="42">
        <v>496048.0</v>
      </c>
      <c r="L357" s="32">
        <f t="shared" si="1"/>
        <v>-0.7662835249</v>
      </c>
      <c r="M357" s="32">
        <f t="shared" si="2"/>
        <v>-2.017654477</v>
      </c>
      <c r="N357" s="32">
        <f t="shared" si="3"/>
        <v>-1.145038168</v>
      </c>
    </row>
    <row r="358">
      <c r="A358" s="42" t="s">
        <v>158</v>
      </c>
      <c r="B358" s="42">
        <v>28.0</v>
      </c>
      <c r="C358" s="42">
        <v>5.0</v>
      </c>
      <c r="D358" s="54">
        <v>782.0</v>
      </c>
      <c r="E358" s="54">
        <v>1201999.0</v>
      </c>
      <c r="F358" s="54">
        <v>792.0</v>
      </c>
      <c r="G358" s="54">
        <v>1201791.0</v>
      </c>
      <c r="H358" s="55">
        <v>788.0</v>
      </c>
      <c r="I358" s="54">
        <v>1211000.0</v>
      </c>
      <c r="J358" s="42">
        <v>776.0</v>
      </c>
      <c r="K358" s="42">
        <v>514114.0</v>
      </c>
      <c r="L358" s="32">
        <f t="shared" si="1"/>
        <v>-0.7672634271</v>
      </c>
      <c r="M358" s="32">
        <f t="shared" si="2"/>
        <v>-2.02020202</v>
      </c>
      <c r="N358" s="32">
        <f t="shared" si="3"/>
        <v>-1.52284264</v>
      </c>
    </row>
    <row r="359">
      <c r="A359" s="42" t="s">
        <v>158</v>
      </c>
      <c r="B359" s="42">
        <v>28.0</v>
      </c>
      <c r="C359" s="42">
        <v>6.0</v>
      </c>
      <c r="D359" s="54">
        <v>782.0</v>
      </c>
      <c r="E359" s="54">
        <v>1202083.0</v>
      </c>
      <c r="F359" s="54">
        <v>792.0</v>
      </c>
      <c r="G359" s="54">
        <v>1201596.0</v>
      </c>
      <c r="H359" s="55">
        <v>786.0</v>
      </c>
      <c r="I359" s="54">
        <v>1212000.0</v>
      </c>
      <c r="J359" s="42">
        <v>776.0</v>
      </c>
      <c r="K359" s="42">
        <v>509249.0</v>
      </c>
      <c r="L359" s="32">
        <f t="shared" si="1"/>
        <v>-0.7672634271</v>
      </c>
      <c r="M359" s="32">
        <f t="shared" si="2"/>
        <v>-2.02020202</v>
      </c>
      <c r="N359" s="32">
        <f t="shared" si="3"/>
        <v>-1.272264631</v>
      </c>
    </row>
    <row r="360">
      <c r="A360" s="42" t="s">
        <v>158</v>
      </c>
      <c r="B360" s="42">
        <v>28.0</v>
      </c>
      <c r="C360" s="42">
        <v>7.0</v>
      </c>
      <c r="D360" s="54">
        <v>785.0</v>
      </c>
      <c r="E360" s="54">
        <v>1202115.0</v>
      </c>
      <c r="F360" s="54">
        <v>793.0</v>
      </c>
      <c r="G360" s="54">
        <v>1081755.0</v>
      </c>
      <c r="H360" s="55">
        <v>787.0</v>
      </c>
      <c r="I360" s="54">
        <v>1211000.0</v>
      </c>
      <c r="J360" s="42">
        <v>776.0</v>
      </c>
      <c r="K360" s="42">
        <v>511127.0</v>
      </c>
      <c r="L360" s="32">
        <f t="shared" si="1"/>
        <v>-1.146496815</v>
      </c>
      <c r="M360" s="32">
        <f t="shared" si="2"/>
        <v>-2.143757881</v>
      </c>
      <c r="N360" s="32">
        <f t="shared" si="3"/>
        <v>-1.397712834</v>
      </c>
    </row>
    <row r="361">
      <c r="A361" s="42" t="s">
        <v>158</v>
      </c>
      <c r="B361" s="42">
        <v>28.0</v>
      </c>
      <c r="C361" s="42">
        <v>8.0</v>
      </c>
      <c r="D361" s="54">
        <v>784.0</v>
      </c>
      <c r="E361" s="54">
        <v>1199964.0</v>
      </c>
      <c r="F361" s="54">
        <v>792.0</v>
      </c>
      <c r="G361" s="54">
        <v>1201851.0</v>
      </c>
      <c r="H361" s="55">
        <v>788.0</v>
      </c>
      <c r="I361" s="54">
        <v>1211000.0</v>
      </c>
      <c r="J361" s="42">
        <v>777.0</v>
      </c>
      <c r="K361" s="42">
        <v>507000.0</v>
      </c>
      <c r="L361" s="32">
        <f t="shared" si="1"/>
        <v>-0.8928571429</v>
      </c>
      <c r="M361" s="32">
        <f t="shared" si="2"/>
        <v>-1.893939394</v>
      </c>
      <c r="N361" s="32">
        <f t="shared" si="3"/>
        <v>-1.395939086</v>
      </c>
    </row>
    <row r="362">
      <c r="A362" s="42" t="s">
        <v>158</v>
      </c>
      <c r="B362" s="42">
        <v>28.0</v>
      </c>
      <c r="C362" s="42">
        <v>9.0</v>
      </c>
      <c r="D362" s="54">
        <v>785.0</v>
      </c>
      <c r="E362" s="54">
        <v>1201464.0</v>
      </c>
      <c r="F362" s="54">
        <v>793.0</v>
      </c>
      <c r="G362" s="54">
        <v>1081325.0</v>
      </c>
      <c r="H362" s="55">
        <v>787.0</v>
      </c>
      <c r="I362" s="54">
        <v>1212000.0</v>
      </c>
      <c r="J362" s="42">
        <v>777.0</v>
      </c>
      <c r="K362" s="42">
        <v>498883.0</v>
      </c>
      <c r="L362" s="32">
        <f t="shared" si="1"/>
        <v>-1.01910828</v>
      </c>
      <c r="M362" s="32">
        <f t="shared" si="2"/>
        <v>-2.017654477</v>
      </c>
      <c r="N362" s="32">
        <f t="shared" si="3"/>
        <v>-1.27064803</v>
      </c>
    </row>
    <row r="363">
      <c r="A363" s="42" t="s">
        <v>158</v>
      </c>
      <c r="B363" s="42">
        <v>28.0</v>
      </c>
      <c r="C363" s="42">
        <v>10.0</v>
      </c>
      <c r="D363" s="54">
        <v>782.0</v>
      </c>
      <c r="E363" s="54">
        <v>1201298.0</v>
      </c>
      <c r="F363" s="54">
        <v>792.0</v>
      </c>
      <c r="G363" s="54">
        <v>1201612.0</v>
      </c>
      <c r="H363" s="55">
        <v>788.0</v>
      </c>
      <c r="I363" s="54">
        <v>1211000.0</v>
      </c>
      <c r="J363" s="42">
        <v>776.0</v>
      </c>
      <c r="K363" s="42">
        <v>502720.0</v>
      </c>
      <c r="L363" s="32">
        <f t="shared" si="1"/>
        <v>-0.7672634271</v>
      </c>
      <c r="M363" s="32">
        <f t="shared" si="2"/>
        <v>-2.02020202</v>
      </c>
      <c r="N363" s="32">
        <f t="shared" si="3"/>
        <v>-1.52284264</v>
      </c>
    </row>
    <row r="364">
      <c r="A364" s="42" t="s">
        <v>158</v>
      </c>
      <c r="B364" s="42">
        <v>30.0</v>
      </c>
      <c r="C364" s="42">
        <v>1.0</v>
      </c>
      <c r="D364" s="54">
        <v>787.0</v>
      </c>
      <c r="E364" s="54">
        <v>1202494.0</v>
      </c>
      <c r="F364" s="54">
        <v>793.0</v>
      </c>
      <c r="G364" s="54">
        <v>1081630.0</v>
      </c>
      <c r="H364" s="55">
        <v>789.0</v>
      </c>
      <c r="I364" s="54">
        <v>1211000.0</v>
      </c>
      <c r="J364" s="42">
        <v>780.0</v>
      </c>
      <c r="K364" s="42">
        <v>529110.0</v>
      </c>
      <c r="L364" s="32">
        <f t="shared" si="1"/>
        <v>-0.8894536213</v>
      </c>
      <c r="M364" s="32">
        <f t="shared" si="2"/>
        <v>-1.639344262</v>
      </c>
      <c r="N364" s="32">
        <f t="shared" si="3"/>
        <v>-1.140684411</v>
      </c>
    </row>
    <row r="365">
      <c r="A365" s="42" t="s">
        <v>158</v>
      </c>
      <c r="B365" s="42">
        <v>30.0</v>
      </c>
      <c r="C365" s="42">
        <v>2.0</v>
      </c>
      <c r="D365" s="54">
        <v>787.0</v>
      </c>
      <c r="E365" s="54">
        <v>1201942.0</v>
      </c>
      <c r="F365" s="54">
        <v>794.0</v>
      </c>
      <c r="G365" s="54">
        <v>1201746.0</v>
      </c>
      <c r="H365" s="55">
        <v>789.0</v>
      </c>
      <c r="I365" s="54">
        <v>1211000.0</v>
      </c>
      <c r="J365" s="42">
        <v>780.0</v>
      </c>
      <c r="K365" s="42">
        <v>527670.0</v>
      </c>
      <c r="L365" s="32">
        <f t="shared" si="1"/>
        <v>-0.8894536213</v>
      </c>
      <c r="M365" s="32">
        <f t="shared" si="2"/>
        <v>-1.763224181</v>
      </c>
      <c r="N365" s="32">
        <f t="shared" si="3"/>
        <v>-1.140684411</v>
      </c>
    </row>
    <row r="366">
      <c r="A366" s="42" t="s">
        <v>158</v>
      </c>
      <c r="B366" s="42">
        <v>30.0</v>
      </c>
      <c r="C366" s="42">
        <v>3.0</v>
      </c>
      <c r="D366" s="54">
        <v>787.0</v>
      </c>
      <c r="E366" s="54">
        <v>1201656.0</v>
      </c>
      <c r="F366" s="54">
        <v>793.0</v>
      </c>
      <c r="G366" s="54">
        <v>1081271.0</v>
      </c>
      <c r="H366" s="55">
        <v>788.0</v>
      </c>
      <c r="I366" s="54">
        <v>1211000.0</v>
      </c>
      <c r="J366" s="42">
        <v>780.0</v>
      </c>
      <c r="K366" s="42">
        <v>538183.0</v>
      </c>
      <c r="L366" s="32">
        <f t="shared" si="1"/>
        <v>-0.8894536213</v>
      </c>
      <c r="M366" s="32">
        <f t="shared" si="2"/>
        <v>-1.639344262</v>
      </c>
      <c r="N366" s="32">
        <f t="shared" si="3"/>
        <v>-1.015228426</v>
      </c>
    </row>
    <row r="367">
      <c r="A367" s="42" t="s">
        <v>158</v>
      </c>
      <c r="B367" s="42">
        <v>30.0</v>
      </c>
      <c r="C367" s="42">
        <v>4.0</v>
      </c>
      <c r="D367" s="54">
        <v>786.0</v>
      </c>
      <c r="E367" s="54">
        <v>1201543.0</v>
      </c>
      <c r="F367" s="54">
        <v>793.0</v>
      </c>
      <c r="G367" s="54">
        <v>1201664.0</v>
      </c>
      <c r="H367" s="55">
        <v>787.0</v>
      </c>
      <c r="I367" s="54">
        <v>1211000.0</v>
      </c>
      <c r="J367" s="42">
        <v>779.0</v>
      </c>
      <c r="K367" s="42">
        <v>523998.0</v>
      </c>
      <c r="L367" s="32">
        <f t="shared" si="1"/>
        <v>-0.8905852417</v>
      </c>
      <c r="M367" s="32">
        <f t="shared" si="2"/>
        <v>-1.765447667</v>
      </c>
      <c r="N367" s="32">
        <f t="shared" si="3"/>
        <v>-1.016518424</v>
      </c>
    </row>
    <row r="368">
      <c r="A368" s="42" t="s">
        <v>158</v>
      </c>
      <c r="B368" s="42">
        <v>30.0</v>
      </c>
      <c r="C368" s="42">
        <v>5.0</v>
      </c>
      <c r="D368" s="54">
        <v>786.0</v>
      </c>
      <c r="E368" s="54">
        <v>1201456.0</v>
      </c>
      <c r="F368" s="54">
        <v>793.0</v>
      </c>
      <c r="G368" s="54">
        <v>1201765.0</v>
      </c>
      <c r="H368" s="55">
        <v>788.0</v>
      </c>
      <c r="I368" s="54">
        <v>1211000.0</v>
      </c>
      <c r="J368" s="42">
        <v>780.0</v>
      </c>
      <c r="K368" s="42">
        <v>528293.0</v>
      </c>
      <c r="L368" s="32">
        <f t="shared" si="1"/>
        <v>-0.7633587786</v>
      </c>
      <c r="M368" s="32">
        <f t="shared" si="2"/>
        <v>-1.639344262</v>
      </c>
      <c r="N368" s="32">
        <f t="shared" si="3"/>
        <v>-1.015228426</v>
      </c>
    </row>
    <row r="369">
      <c r="A369" s="42" t="s">
        <v>158</v>
      </c>
      <c r="B369" s="42">
        <v>30.0</v>
      </c>
      <c r="C369" s="42">
        <v>6.0</v>
      </c>
      <c r="D369" s="54">
        <v>784.0</v>
      </c>
      <c r="E369" s="54">
        <v>1201375.0</v>
      </c>
      <c r="F369" s="54">
        <v>793.0</v>
      </c>
      <c r="G369" s="54">
        <v>1081518.0</v>
      </c>
      <c r="H369" s="55">
        <v>789.0</v>
      </c>
      <c r="I369" s="54">
        <v>1211000.0</v>
      </c>
      <c r="J369" s="42">
        <v>780.0</v>
      </c>
      <c r="K369" s="42">
        <v>536372.0</v>
      </c>
      <c r="L369" s="32">
        <f t="shared" si="1"/>
        <v>-0.5102040816</v>
      </c>
      <c r="M369" s="32">
        <f t="shared" si="2"/>
        <v>-1.639344262</v>
      </c>
      <c r="N369" s="32">
        <f t="shared" si="3"/>
        <v>-1.140684411</v>
      </c>
    </row>
    <row r="370">
      <c r="A370" s="42" t="s">
        <v>158</v>
      </c>
      <c r="B370" s="42">
        <v>30.0</v>
      </c>
      <c r="C370" s="42">
        <v>7.0</v>
      </c>
      <c r="D370" s="54">
        <v>787.0</v>
      </c>
      <c r="E370" s="54">
        <v>1201529.0</v>
      </c>
      <c r="F370" s="54">
        <v>793.0</v>
      </c>
      <c r="G370" s="54">
        <v>1201809.0</v>
      </c>
      <c r="H370" s="55">
        <v>789.0</v>
      </c>
      <c r="I370" s="54">
        <v>1211000.0</v>
      </c>
      <c r="J370" s="42">
        <v>779.0</v>
      </c>
      <c r="K370" s="42">
        <v>525276.0</v>
      </c>
      <c r="L370" s="32">
        <f t="shared" si="1"/>
        <v>-1.016518424</v>
      </c>
      <c r="M370" s="32">
        <f t="shared" si="2"/>
        <v>-1.765447667</v>
      </c>
      <c r="N370" s="32">
        <f t="shared" si="3"/>
        <v>-1.267427123</v>
      </c>
    </row>
    <row r="371">
      <c r="A371" s="42" t="s">
        <v>158</v>
      </c>
      <c r="B371" s="42">
        <v>30.0</v>
      </c>
      <c r="C371" s="42">
        <v>8.0</v>
      </c>
      <c r="D371" s="54">
        <v>786.0</v>
      </c>
      <c r="E371" s="54">
        <v>1200490.0</v>
      </c>
      <c r="F371" s="54">
        <v>793.0</v>
      </c>
      <c r="G371" s="54">
        <v>1201785.0</v>
      </c>
      <c r="H371" s="55">
        <v>789.0</v>
      </c>
      <c r="I371" s="54">
        <v>1211000.0</v>
      </c>
      <c r="J371" s="42">
        <v>780.0</v>
      </c>
      <c r="K371" s="42">
        <v>534195.0</v>
      </c>
      <c r="L371" s="32">
        <f t="shared" si="1"/>
        <v>-0.7633587786</v>
      </c>
      <c r="M371" s="32">
        <f t="shared" si="2"/>
        <v>-1.639344262</v>
      </c>
      <c r="N371" s="32">
        <f t="shared" si="3"/>
        <v>-1.140684411</v>
      </c>
    </row>
    <row r="372">
      <c r="A372" s="42" t="s">
        <v>158</v>
      </c>
      <c r="B372" s="42">
        <v>30.0</v>
      </c>
      <c r="C372" s="42">
        <v>9.0</v>
      </c>
      <c r="D372" s="54">
        <v>786.0</v>
      </c>
      <c r="E372" s="54">
        <v>1202800.0</v>
      </c>
      <c r="F372" s="54">
        <v>793.0</v>
      </c>
      <c r="G372" s="54">
        <v>1201732.0</v>
      </c>
      <c r="H372" s="55">
        <v>789.0</v>
      </c>
      <c r="I372" s="54">
        <v>1211000.0</v>
      </c>
      <c r="J372" s="42">
        <v>780.0</v>
      </c>
      <c r="K372" s="42">
        <v>525087.0</v>
      </c>
      <c r="L372" s="32">
        <f t="shared" si="1"/>
        <v>-0.7633587786</v>
      </c>
      <c r="M372" s="32">
        <f t="shared" si="2"/>
        <v>-1.639344262</v>
      </c>
      <c r="N372" s="32">
        <f t="shared" si="3"/>
        <v>-1.140684411</v>
      </c>
    </row>
    <row r="373">
      <c r="A373" s="42" t="s">
        <v>158</v>
      </c>
      <c r="B373" s="42">
        <v>30.0</v>
      </c>
      <c r="C373" s="42">
        <v>10.0</v>
      </c>
      <c r="D373" s="54">
        <v>785.0</v>
      </c>
      <c r="E373" s="54">
        <v>1200113.0</v>
      </c>
      <c r="F373" s="54">
        <v>793.0</v>
      </c>
      <c r="G373" s="54">
        <v>1081382.0</v>
      </c>
      <c r="H373" s="55">
        <v>789.0</v>
      </c>
      <c r="I373" s="54">
        <v>1211000.0</v>
      </c>
      <c r="J373" s="42">
        <v>779.0</v>
      </c>
      <c r="K373" s="42">
        <v>531804.0</v>
      </c>
      <c r="L373" s="32">
        <f t="shared" si="1"/>
        <v>-0.7643312102</v>
      </c>
      <c r="M373" s="32">
        <f t="shared" si="2"/>
        <v>-1.765447667</v>
      </c>
      <c r="N373" s="32">
        <f t="shared" si="3"/>
        <v>-1.267427123</v>
      </c>
    </row>
    <row r="374">
      <c r="A374" s="42" t="s">
        <v>158</v>
      </c>
      <c r="B374" s="42">
        <v>34.0</v>
      </c>
      <c r="C374" s="42">
        <v>1.0</v>
      </c>
      <c r="D374" s="54">
        <v>790.0</v>
      </c>
      <c r="E374" s="54">
        <v>1201999.0</v>
      </c>
      <c r="F374" s="54">
        <v>794.0</v>
      </c>
      <c r="G374" s="54">
        <v>1081631.0</v>
      </c>
      <c r="H374" s="55">
        <v>791.0</v>
      </c>
      <c r="I374" s="54">
        <v>1211000.0</v>
      </c>
      <c r="J374" s="42">
        <v>784.0</v>
      </c>
      <c r="K374" s="42">
        <v>583176.0</v>
      </c>
      <c r="L374" s="32">
        <f t="shared" si="1"/>
        <v>-0.7594936709</v>
      </c>
      <c r="M374" s="32">
        <f t="shared" si="2"/>
        <v>-1.259445844</v>
      </c>
      <c r="N374" s="32">
        <f t="shared" si="3"/>
        <v>-0.8849557522</v>
      </c>
    </row>
    <row r="375">
      <c r="A375" s="42" t="s">
        <v>158</v>
      </c>
      <c r="B375" s="42">
        <v>34.0</v>
      </c>
      <c r="C375" s="42">
        <v>2.0</v>
      </c>
      <c r="D375" s="54">
        <v>788.0</v>
      </c>
      <c r="E375" s="54">
        <v>1202167.0</v>
      </c>
      <c r="F375" s="54">
        <v>794.0</v>
      </c>
      <c r="G375" s="54">
        <v>1081906.0</v>
      </c>
      <c r="H375" s="55">
        <v>790.0</v>
      </c>
      <c r="I375" s="54">
        <v>1211000.0</v>
      </c>
      <c r="J375" s="42">
        <v>784.0</v>
      </c>
      <c r="K375" s="42">
        <v>570174.0</v>
      </c>
      <c r="L375" s="32">
        <f t="shared" si="1"/>
        <v>-0.5076142132</v>
      </c>
      <c r="M375" s="32">
        <f t="shared" si="2"/>
        <v>-1.259445844</v>
      </c>
      <c r="N375" s="32">
        <f t="shared" si="3"/>
        <v>-0.7594936709</v>
      </c>
    </row>
    <row r="376">
      <c r="A376" s="42" t="s">
        <v>158</v>
      </c>
      <c r="B376" s="42">
        <v>34.0</v>
      </c>
      <c r="C376" s="42">
        <v>3.0</v>
      </c>
      <c r="D376" s="54">
        <v>788.0</v>
      </c>
      <c r="E376" s="54">
        <v>1200623.0</v>
      </c>
      <c r="F376" s="54">
        <v>795.0</v>
      </c>
      <c r="G376" s="54">
        <v>1081630.0</v>
      </c>
      <c r="H376" s="55">
        <v>791.0</v>
      </c>
      <c r="I376" s="54">
        <v>1211000.0</v>
      </c>
      <c r="J376" s="42">
        <v>785.0</v>
      </c>
      <c r="K376" s="42">
        <v>600356.0</v>
      </c>
      <c r="L376" s="32">
        <f t="shared" si="1"/>
        <v>-0.3807106599</v>
      </c>
      <c r="M376" s="32">
        <f t="shared" si="2"/>
        <v>-1.257861635</v>
      </c>
      <c r="N376" s="32">
        <f t="shared" si="3"/>
        <v>-0.7585335019</v>
      </c>
    </row>
    <row r="377">
      <c r="A377" s="42" t="s">
        <v>158</v>
      </c>
      <c r="B377" s="42">
        <v>34.0</v>
      </c>
      <c r="C377" s="42">
        <v>4.0</v>
      </c>
      <c r="D377" s="54">
        <v>788.0</v>
      </c>
      <c r="E377" s="54">
        <v>1202305.0</v>
      </c>
      <c r="F377" s="54">
        <v>795.0</v>
      </c>
      <c r="G377" s="54">
        <v>1201718.0</v>
      </c>
      <c r="H377" s="55">
        <v>791.0</v>
      </c>
      <c r="I377" s="54">
        <v>1211000.0</v>
      </c>
      <c r="J377" s="42">
        <v>784.0</v>
      </c>
      <c r="K377" s="42">
        <v>587865.0</v>
      </c>
      <c r="L377" s="32">
        <f t="shared" si="1"/>
        <v>-0.5076142132</v>
      </c>
      <c r="M377" s="32">
        <f t="shared" si="2"/>
        <v>-1.383647799</v>
      </c>
      <c r="N377" s="32">
        <f t="shared" si="3"/>
        <v>-0.8849557522</v>
      </c>
    </row>
    <row r="378">
      <c r="A378" s="42" t="s">
        <v>158</v>
      </c>
      <c r="B378" s="42">
        <v>34.0</v>
      </c>
      <c r="C378" s="42">
        <v>5.0</v>
      </c>
      <c r="D378" s="54">
        <v>790.0</v>
      </c>
      <c r="E378" s="54">
        <v>1201164.0</v>
      </c>
      <c r="F378" s="54">
        <v>795.0</v>
      </c>
      <c r="G378" s="54">
        <v>1081459.0</v>
      </c>
      <c r="H378" s="55">
        <v>791.0</v>
      </c>
      <c r="I378" s="54">
        <v>1211000.0</v>
      </c>
      <c r="J378" s="42">
        <v>785.0</v>
      </c>
      <c r="K378" s="42">
        <v>594290.0</v>
      </c>
      <c r="L378" s="32">
        <f t="shared" si="1"/>
        <v>-0.6329113924</v>
      </c>
      <c r="M378" s="32">
        <f t="shared" si="2"/>
        <v>-1.257861635</v>
      </c>
      <c r="N378" s="32">
        <f t="shared" si="3"/>
        <v>-0.7585335019</v>
      </c>
    </row>
    <row r="379">
      <c r="A379" s="42" t="s">
        <v>158</v>
      </c>
      <c r="B379" s="42">
        <v>34.0</v>
      </c>
      <c r="C379" s="42">
        <v>6.0</v>
      </c>
      <c r="D379" s="54">
        <v>789.0</v>
      </c>
      <c r="E379" s="54">
        <v>1199988.0</v>
      </c>
      <c r="F379" s="54">
        <v>794.0</v>
      </c>
      <c r="G379" s="54">
        <v>1201695.0</v>
      </c>
      <c r="H379" s="55">
        <v>791.0</v>
      </c>
      <c r="I379" s="54">
        <v>1211000.0</v>
      </c>
      <c r="J379" s="42">
        <v>784.0</v>
      </c>
      <c r="K379" s="42">
        <v>594478.0</v>
      </c>
      <c r="L379" s="32">
        <f t="shared" si="1"/>
        <v>-0.6337135615</v>
      </c>
      <c r="M379" s="32">
        <f t="shared" si="2"/>
        <v>-1.259445844</v>
      </c>
      <c r="N379" s="32">
        <f t="shared" si="3"/>
        <v>-0.8849557522</v>
      </c>
    </row>
    <row r="380">
      <c r="A380" s="42" t="s">
        <v>158</v>
      </c>
      <c r="B380" s="42">
        <v>34.0</v>
      </c>
      <c r="C380" s="42">
        <v>7.0</v>
      </c>
      <c r="D380" s="54">
        <v>791.0</v>
      </c>
      <c r="E380" s="54">
        <v>1200330.0</v>
      </c>
      <c r="F380" s="54">
        <v>794.0</v>
      </c>
      <c r="G380" s="54">
        <v>1201550.0</v>
      </c>
      <c r="H380" s="55">
        <v>790.0</v>
      </c>
      <c r="I380" s="54">
        <v>1211000.0</v>
      </c>
      <c r="J380" s="42">
        <v>784.0</v>
      </c>
      <c r="K380" s="42">
        <v>601515.0</v>
      </c>
      <c r="L380" s="32">
        <f t="shared" si="1"/>
        <v>-0.8849557522</v>
      </c>
      <c r="M380" s="32">
        <f t="shared" si="2"/>
        <v>-1.259445844</v>
      </c>
      <c r="N380" s="32">
        <f t="shared" si="3"/>
        <v>-0.7594936709</v>
      </c>
    </row>
    <row r="381">
      <c r="A381" s="42" t="s">
        <v>158</v>
      </c>
      <c r="B381" s="42">
        <v>34.0</v>
      </c>
      <c r="C381" s="42">
        <v>8.0</v>
      </c>
      <c r="D381" s="54">
        <v>789.0</v>
      </c>
      <c r="E381" s="54">
        <v>1202377.0</v>
      </c>
      <c r="F381" s="54">
        <v>795.0</v>
      </c>
      <c r="G381" s="54">
        <v>1201678.0</v>
      </c>
      <c r="H381" s="55">
        <v>791.0</v>
      </c>
      <c r="I381" s="54">
        <v>1211000.0</v>
      </c>
      <c r="J381" s="42">
        <v>785.0</v>
      </c>
      <c r="K381" s="42">
        <v>578499.0</v>
      </c>
      <c r="L381" s="32">
        <f t="shared" si="1"/>
        <v>-0.5069708492</v>
      </c>
      <c r="M381" s="32">
        <f t="shared" si="2"/>
        <v>-1.257861635</v>
      </c>
      <c r="N381" s="32">
        <f t="shared" si="3"/>
        <v>-0.7585335019</v>
      </c>
    </row>
    <row r="382">
      <c r="A382" s="42" t="s">
        <v>158</v>
      </c>
      <c r="B382" s="42">
        <v>34.0</v>
      </c>
      <c r="C382" s="42">
        <v>9.0</v>
      </c>
      <c r="D382" s="54">
        <v>790.0</v>
      </c>
      <c r="E382" s="54">
        <v>1200991.0</v>
      </c>
      <c r="F382" s="54">
        <v>794.0</v>
      </c>
      <c r="G382" s="54">
        <v>1201373.0</v>
      </c>
      <c r="H382" s="55">
        <v>791.0</v>
      </c>
      <c r="I382" s="54">
        <v>1211000.0</v>
      </c>
      <c r="J382" s="42">
        <v>784.0</v>
      </c>
      <c r="K382" s="42">
        <v>592622.0</v>
      </c>
      <c r="L382" s="32">
        <f t="shared" si="1"/>
        <v>-0.7594936709</v>
      </c>
      <c r="M382" s="32">
        <f t="shared" si="2"/>
        <v>-1.259445844</v>
      </c>
      <c r="N382" s="32">
        <f t="shared" si="3"/>
        <v>-0.8849557522</v>
      </c>
    </row>
    <row r="383">
      <c r="A383" s="42" t="s">
        <v>158</v>
      </c>
      <c r="B383" s="42">
        <v>34.0</v>
      </c>
      <c r="C383" s="42">
        <v>10.0</v>
      </c>
      <c r="D383" s="54">
        <v>790.0</v>
      </c>
      <c r="E383" s="54">
        <v>1200337.0</v>
      </c>
      <c r="F383" s="54">
        <v>795.0</v>
      </c>
      <c r="G383" s="54">
        <v>1201366.0</v>
      </c>
      <c r="H383" s="55">
        <v>791.0</v>
      </c>
      <c r="I383" s="54">
        <v>1211000.0</v>
      </c>
      <c r="J383" s="42">
        <v>785.0</v>
      </c>
      <c r="K383" s="42">
        <v>584168.0</v>
      </c>
      <c r="L383" s="32">
        <f t="shared" si="1"/>
        <v>-0.6329113924</v>
      </c>
      <c r="M383" s="32">
        <f t="shared" si="2"/>
        <v>-1.257861635</v>
      </c>
      <c r="N383" s="32">
        <f t="shared" si="3"/>
        <v>-0.7585335019</v>
      </c>
    </row>
    <row r="384">
      <c r="A384" s="42" t="s">
        <v>158</v>
      </c>
      <c r="B384" s="42">
        <v>38.0</v>
      </c>
      <c r="C384" s="42">
        <v>1.0</v>
      </c>
      <c r="D384" s="54">
        <v>792.0</v>
      </c>
      <c r="E384" s="54">
        <v>1201403.0</v>
      </c>
      <c r="F384" s="54">
        <v>796.0</v>
      </c>
      <c r="G384" s="54">
        <v>1201408.0</v>
      </c>
      <c r="H384" s="55">
        <v>793.0</v>
      </c>
      <c r="I384" s="54">
        <v>1211000.0</v>
      </c>
      <c r="J384" s="42">
        <v>788.0</v>
      </c>
      <c r="K384" s="42">
        <v>641115.0</v>
      </c>
      <c r="L384" s="32">
        <f t="shared" si="1"/>
        <v>-0.5050505051</v>
      </c>
      <c r="M384" s="32">
        <f t="shared" si="2"/>
        <v>-1.005025126</v>
      </c>
      <c r="N384" s="32">
        <f t="shared" si="3"/>
        <v>-0.630517024</v>
      </c>
    </row>
    <row r="385">
      <c r="A385" s="42" t="s">
        <v>158</v>
      </c>
      <c r="B385" s="42">
        <v>38.0</v>
      </c>
      <c r="C385" s="42">
        <v>2.0</v>
      </c>
      <c r="D385" s="54">
        <v>792.0</v>
      </c>
      <c r="E385" s="54">
        <v>1203033.0</v>
      </c>
      <c r="F385" s="54">
        <v>796.0</v>
      </c>
      <c r="G385" s="54">
        <v>1081579.0</v>
      </c>
      <c r="H385" s="55">
        <v>793.0</v>
      </c>
      <c r="I385" s="54">
        <v>1211000.0</v>
      </c>
      <c r="J385" s="42">
        <v>788.0</v>
      </c>
      <c r="K385" s="42">
        <v>640344.0</v>
      </c>
      <c r="L385" s="32">
        <f t="shared" si="1"/>
        <v>-0.5050505051</v>
      </c>
      <c r="M385" s="32">
        <f t="shared" si="2"/>
        <v>-1.005025126</v>
      </c>
      <c r="N385" s="32">
        <f t="shared" si="3"/>
        <v>-0.630517024</v>
      </c>
    </row>
    <row r="386">
      <c r="A386" s="42" t="s">
        <v>158</v>
      </c>
      <c r="B386" s="42">
        <v>38.0</v>
      </c>
      <c r="C386" s="42">
        <v>3.0</v>
      </c>
      <c r="D386" s="54">
        <v>791.0</v>
      </c>
      <c r="E386" s="54">
        <v>1199984.0</v>
      </c>
      <c r="F386" s="54">
        <v>795.0</v>
      </c>
      <c r="G386" s="54">
        <v>1201493.0</v>
      </c>
      <c r="H386" s="55">
        <v>792.0</v>
      </c>
      <c r="I386" s="54">
        <v>1211000.0</v>
      </c>
      <c r="J386" s="42">
        <v>787.0</v>
      </c>
      <c r="K386" s="42">
        <v>645070.0</v>
      </c>
      <c r="L386" s="32">
        <f t="shared" si="1"/>
        <v>-0.5056890013</v>
      </c>
      <c r="M386" s="32">
        <f t="shared" si="2"/>
        <v>-1.006289308</v>
      </c>
      <c r="N386" s="32">
        <f t="shared" si="3"/>
        <v>-0.6313131313</v>
      </c>
    </row>
    <row r="387">
      <c r="A387" s="42" t="s">
        <v>158</v>
      </c>
      <c r="B387" s="42">
        <v>38.0</v>
      </c>
      <c r="C387" s="42">
        <v>4.0</v>
      </c>
      <c r="D387" s="54">
        <v>793.0</v>
      </c>
      <c r="E387" s="54">
        <v>1201312.0</v>
      </c>
      <c r="F387" s="54">
        <v>795.0</v>
      </c>
      <c r="G387" s="54">
        <v>1081212.0</v>
      </c>
      <c r="H387" s="55">
        <v>792.0</v>
      </c>
      <c r="I387" s="54">
        <v>1211000.0</v>
      </c>
      <c r="J387" s="42">
        <v>787.0</v>
      </c>
      <c r="K387" s="42">
        <v>652982.0</v>
      </c>
      <c r="L387" s="32">
        <f t="shared" si="1"/>
        <v>-0.7566204288</v>
      </c>
      <c r="M387" s="32">
        <f t="shared" si="2"/>
        <v>-1.006289308</v>
      </c>
      <c r="N387" s="32">
        <f t="shared" si="3"/>
        <v>-0.6313131313</v>
      </c>
    </row>
    <row r="388">
      <c r="A388" s="42" t="s">
        <v>158</v>
      </c>
      <c r="B388" s="42">
        <v>38.0</v>
      </c>
      <c r="C388" s="42">
        <v>5.0</v>
      </c>
      <c r="D388" s="54">
        <v>791.0</v>
      </c>
      <c r="E388" s="54">
        <v>1200362.0</v>
      </c>
      <c r="F388" s="54">
        <v>795.0</v>
      </c>
      <c r="G388" s="54">
        <v>1081516.0</v>
      </c>
      <c r="H388" s="55">
        <v>792.0</v>
      </c>
      <c r="I388" s="54">
        <v>1211000.0</v>
      </c>
      <c r="J388" s="42">
        <v>787.0</v>
      </c>
      <c r="K388" s="42">
        <v>644371.0</v>
      </c>
      <c r="L388" s="32">
        <f t="shared" si="1"/>
        <v>-0.5056890013</v>
      </c>
      <c r="M388" s="32">
        <f t="shared" si="2"/>
        <v>-1.006289308</v>
      </c>
      <c r="N388" s="32">
        <f t="shared" si="3"/>
        <v>-0.6313131313</v>
      </c>
    </row>
    <row r="389">
      <c r="A389" s="42" t="s">
        <v>158</v>
      </c>
      <c r="B389" s="42">
        <v>38.0</v>
      </c>
      <c r="C389" s="42">
        <v>6.0</v>
      </c>
      <c r="D389" s="54">
        <v>791.0</v>
      </c>
      <c r="E389" s="54">
        <v>1200223.0</v>
      </c>
      <c r="F389" s="54">
        <v>796.0</v>
      </c>
      <c r="G389" s="54">
        <v>1081520.0</v>
      </c>
      <c r="H389" s="55">
        <v>792.0</v>
      </c>
      <c r="I389" s="54">
        <v>1211000.0</v>
      </c>
      <c r="J389" s="42">
        <v>788.0</v>
      </c>
      <c r="K389" s="42">
        <v>660869.0</v>
      </c>
      <c r="L389" s="32">
        <f t="shared" si="1"/>
        <v>-0.3792667509</v>
      </c>
      <c r="M389" s="32">
        <f t="shared" si="2"/>
        <v>-1.005025126</v>
      </c>
      <c r="N389" s="32">
        <f t="shared" si="3"/>
        <v>-0.5050505051</v>
      </c>
    </row>
    <row r="390">
      <c r="A390" s="42" t="s">
        <v>158</v>
      </c>
      <c r="B390" s="42">
        <v>38.0</v>
      </c>
      <c r="C390" s="42">
        <v>7.0</v>
      </c>
      <c r="D390" s="54">
        <v>792.0</v>
      </c>
      <c r="E390" s="54">
        <v>1200933.0</v>
      </c>
      <c r="F390" s="54">
        <v>795.0</v>
      </c>
      <c r="G390" s="54">
        <v>1081494.0</v>
      </c>
      <c r="H390" s="55">
        <v>793.0</v>
      </c>
      <c r="I390" s="54">
        <v>1211000.0</v>
      </c>
      <c r="J390" s="42">
        <v>787.0</v>
      </c>
      <c r="K390" s="42">
        <v>660747.0</v>
      </c>
      <c r="L390" s="32">
        <f t="shared" si="1"/>
        <v>-0.6313131313</v>
      </c>
      <c r="M390" s="32">
        <f t="shared" si="2"/>
        <v>-1.006289308</v>
      </c>
      <c r="N390" s="32">
        <f t="shared" si="3"/>
        <v>-0.7566204288</v>
      </c>
    </row>
    <row r="391">
      <c r="A391" s="42" t="s">
        <v>158</v>
      </c>
      <c r="B391" s="42">
        <v>38.0</v>
      </c>
      <c r="C391" s="42">
        <v>8.0</v>
      </c>
      <c r="D391" s="54">
        <v>792.0</v>
      </c>
      <c r="E391" s="54">
        <v>1199958.0</v>
      </c>
      <c r="F391" s="54">
        <v>795.0</v>
      </c>
      <c r="G391" s="54">
        <v>1081116.0</v>
      </c>
      <c r="H391" s="55">
        <v>792.0</v>
      </c>
      <c r="I391" s="54">
        <v>1211000.0</v>
      </c>
      <c r="J391" s="42">
        <v>787.0</v>
      </c>
      <c r="K391" s="42">
        <v>670122.0</v>
      </c>
      <c r="L391" s="32">
        <f t="shared" si="1"/>
        <v>-0.6313131313</v>
      </c>
      <c r="M391" s="32">
        <f t="shared" si="2"/>
        <v>-1.006289308</v>
      </c>
      <c r="N391" s="32">
        <f t="shared" si="3"/>
        <v>-0.6313131313</v>
      </c>
    </row>
    <row r="392">
      <c r="A392" s="42" t="s">
        <v>158</v>
      </c>
      <c r="B392" s="42">
        <v>38.0</v>
      </c>
      <c r="C392" s="42">
        <v>9.0</v>
      </c>
      <c r="D392" s="54">
        <v>792.0</v>
      </c>
      <c r="E392" s="54">
        <v>1202080.0</v>
      </c>
      <c r="F392" s="54">
        <v>795.0</v>
      </c>
      <c r="G392" s="54">
        <v>1081932.0</v>
      </c>
      <c r="H392" s="55">
        <v>792.0</v>
      </c>
      <c r="I392" s="54">
        <v>1211000.0</v>
      </c>
      <c r="J392" s="42">
        <v>787.0</v>
      </c>
      <c r="K392" s="42">
        <v>634316.0</v>
      </c>
      <c r="L392" s="32">
        <f t="shared" si="1"/>
        <v>-0.6313131313</v>
      </c>
      <c r="M392" s="32">
        <f t="shared" si="2"/>
        <v>-1.006289308</v>
      </c>
      <c r="N392" s="32">
        <f t="shared" si="3"/>
        <v>-0.6313131313</v>
      </c>
    </row>
    <row r="393">
      <c r="A393" s="42" t="s">
        <v>158</v>
      </c>
      <c r="B393" s="42">
        <v>38.0</v>
      </c>
      <c r="C393" s="42">
        <v>10.0</v>
      </c>
      <c r="D393" s="54">
        <v>791.0</v>
      </c>
      <c r="E393" s="54">
        <v>1202652.0</v>
      </c>
      <c r="F393" s="54">
        <v>795.0</v>
      </c>
      <c r="G393" s="54">
        <v>1201618.0</v>
      </c>
      <c r="H393" s="55">
        <v>792.0</v>
      </c>
      <c r="I393" s="54">
        <v>1211000.0</v>
      </c>
      <c r="J393" s="42">
        <v>788.0</v>
      </c>
      <c r="K393" s="42">
        <v>636361.0</v>
      </c>
      <c r="L393" s="32">
        <f t="shared" si="1"/>
        <v>-0.3792667509</v>
      </c>
      <c r="M393" s="32">
        <f t="shared" si="2"/>
        <v>-0.8805031447</v>
      </c>
      <c r="N393" s="32">
        <f t="shared" si="3"/>
        <v>-0.5050505051</v>
      </c>
    </row>
    <row r="394">
      <c r="A394" s="42" t="s">
        <v>158</v>
      </c>
      <c r="B394" s="42">
        <v>40.0</v>
      </c>
      <c r="C394" s="42">
        <v>1.0</v>
      </c>
      <c r="D394" s="54">
        <v>793.0</v>
      </c>
      <c r="E394" s="54">
        <v>1202914.0</v>
      </c>
      <c r="F394" s="54">
        <v>796.0</v>
      </c>
      <c r="G394" s="54">
        <v>1081637.0</v>
      </c>
      <c r="H394" s="55">
        <v>793.0</v>
      </c>
      <c r="I394" s="54">
        <v>1211000.0</v>
      </c>
      <c r="J394" s="42">
        <v>789.0</v>
      </c>
      <c r="K394" s="42">
        <v>664695.0</v>
      </c>
      <c r="L394" s="32">
        <f t="shared" si="1"/>
        <v>-0.5044136192</v>
      </c>
      <c r="M394" s="32">
        <f t="shared" si="2"/>
        <v>-0.8793969849</v>
      </c>
      <c r="N394" s="32">
        <f t="shared" si="3"/>
        <v>-0.5044136192</v>
      </c>
    </row>
    <row r="395">
      <c r="A395" s="42" t="s">
        <v>158</v>
      </c>
      <c r="B395" s="42">
        <v>40.0</v>
      </c>
      <c r="C395" s="42">
        <v>2.0</v>
      </c>
      <c r="D395" s="54">
        <v>792.0</v>
      </c>
      <c r="E395" s="54">
        <v>1201550.0</v>
      </c>
      <c r="F395" s="54">
        <v>796.0</v>
      </c>
      <c r="G395" s="54">
        <v>1081471.0</v>
      </c>
      <c r="H395" s="55">
        <v>793.0</v>
      </c>
      <c r="I395" s="54">
        <v>1211000.0</v>
      </c>
      <c r="J395" s="42">
        <v>788.0</v>
      </c>
      <c r="K395" s="42">
        <v>664390.0</v>
      </c>
      <c r="L395" s="32">
        <f t="shared" si="1"/>
        <v>-0.5050505051</v>
      </c>
      <c r="M395" s="32">
        <f t="shared" si="2"/>
        <v>-1.005025126</v>
      </c>
      <c r="N395" s="32">
        <f t="shared" si="3"/>
        <v>-0.630517024</v>
      </c>
    </row>
    <row r="396">
      <c r="A396" s="42" t="s">
        <v>158</v>
      </c>
      <c r="B396" s="42">
        <v>40.0</v>
      </c>
      <c r="C396" s="42">
        <v>3.0</v>
      </c>
      <c r="D396" s="54">
        <v>793.0</v>
      </c>
      <c r="E396" s="54">
        <v>1200201.0</v>
      </c>
      <c r="F396" s="54">
        <v>796.0</v>
      </c>
      <c r="G396" s="54">
        <v>1201604.0</v>
      </c>
      <c r="H396" s="55">
        <v>794.0</v>
      </c>
      <c r="I396" s="54">
        <v>1212000.0</v>
      </c>
      <c r="J396" s="42">
        <v>789.0</v>
      </c>
      <c r="K396" s="42">
        <v>689725.0</v>
      </c>
      <c r="L396" s="32">
        <f t="shared" si="1"/>
        <v>-0.5044136192</v>
      </c>
      <c r="M396" s="32">
        <f t="shared" si="2"/>
        <v>-0.8793969849</v>
      </c>
      <c r="N396" s="32">
        <f t="shared" si="3"/>
        <v>-0.6297229219</v>
      </c>
    </row>
    <row r="397">
      <c r="A397" s="42" t="s">
        <v>158</v>
      </c>
      <c r="B397" s="42">
        <v>40.0</v>
      </c>
      <c r="C397" s="42">
        <v>4.0</v>
      </c>
      <c r="D397" s="54">
        <v>792.0</v>
      </c>
      <c r="E397" s="54">
        <v>1202357.0</v>
      </c>
      <c r="F397" s="54">
        <v>796.0</v>
      </c>
      <c r="G397" s="54">
        <v>1081602.0</v>
      </c>
      <c r="H397" s="55">
        <v>794.0</v>
      </c>
      <c r="I397" s="54">
        <v>1211000.0</v>
      </c>
      <c r="J397" s="42">
        <v>789.0</v>
      </c>
      <c r="K397" s="42">
        <v>697628.0</v>
      </c>
      <c r="L397" s="32">
        <f t="shared" si="1"/>
        <v>-0.3787878788</v>
      </c>
      <c r="M397" s="32">
        <f t="shared" si="2"/>
        <v>-0.8793969849</v>
      </c>
      <c r="N397" s="32">
        <f t="shared" si="3"/>
        <v>-0.6297229219</v>
      </c>
    </row>
    <row r="398">
      <c r="A398" s="42" t="s">
        <v>158</v>
      </c>
      <c r="B398" s="42">
        <v>40.0</v>
      </c>
      <c r="C398" s="42">
        <v>5.0</v>
      </c>
      <c r="D398" s="54">
        <v>793.0</v>
      </c>
      <c r="E398" s="54">
        <v>1201023.0</v>
      </c>
      <c r="F398" s="54">
        <v>796.0</v>
      </c>
      <c r="G398" s="54">
        <v>1081906.0</v>
      </c>
      <c r="H398" s="55">
        <v>793.0</v>
      </c>
      <c r="I398" s="54">
        <v>1211000.0</v>
      </c>
      <c r="J398" s="42">
        <v>789.0</v>
      </c>
      <c r="K398" s="42">
        <v>658080.0</v>
      </c>
      <c r="L398" s="32">
        <f t="shared" si="1"/>
        <v>-0.5044136192</v>
      </c>
      <c r="M398" s="32">
        <f t="shared" si="2"/>
        <v>-0.8793969849</v>
      </c>
      <c r="N398" s="32">
        <f t="shared" si="3"/>
        <v>-0.5044136192</v>
      </c>
    </row>
    <row r="399">
      <c r="A399" s="42" t="s">
        <v>158</v>
      </c>
      <c r="B399" s="42">
        <v>40.0</v>
      </c>
      <c r="C399" s="42">
        <v>6.0</v>
      </c>
      <c r="D399" s="54">
        <v>793.0</v>
      </c>
      <c r="E399" s="54">
        <v>1201366.0</v>
      </c>
      <c r="F399" s="54">
        <v>796.0</v>
      </c>
      <c r="G399" s="54">
        <v>1081603.0</v>
      </c>
      <c r="H399" s="55">
        <v>793.0</v>
      </c>
      <c r="I399" s="54">
        <v>1211000.0</v>
      </c>
      <c r="J399" s="42">
        <v>789.0</v>
      </c>
      <c r="K399" s="42">
        <v>681241.0</v>
      </c>
      <c r="L399" s="32">
        <f t="shared" si="1"/>
        <v>-0.5044136192</v>
      </c>
      <c r="M399" s="32">
        <f t="shared" si="2"/>
        <v>-0.8793969849</v>
      </c>
      <c r="N399" s="32">
        <f t="shared" si="3"/>
        <v>-0.5044136192</v>
      </c>
    </row>
    <row r="400">
      <c r="A400" s="42" t="s">
        <v>158</v>
      </c>
      <c r="B400" s="42">
        <v>40.0</v>
      </c>
      <c r="C400" s="42">
        <v>7.0</v>
      </c>
      <c r="D400" s="54">
        <v>792.0</v>
      </c>
      <c r="E400" s="54">
        <v>1201862.0</v>
      </c>
      <c r="F400" s="54">
        <v>795.0</v>
      </c>
      <c r="G400" s="54">
        <v>1201023.0</v>
      </c>
      <c r="H400" s="55">
        <v>793.0</v>
      </c>
      <c r="I400" s="54">
        <v>1211000.0</v>
      </c>
      <c r="J400" s="42">
        <v>789.0</v>
      </c>
      <c r="K400" s="42">
        <v>662680.0</v>
      </c>
      <c r="L400" s="32">
        <f t="shared" si="1"/>
        <v>-0.3787878788</v>
      </c>
      <c r="M400" s="32">
        <f t="shared" si="2"/>
        <v>-0.7547169811</v>
      </c>
      <c r="N400" s="32">
        <f t="shared" si="3"/>
        <v>-0.5044136192</v>
      </c>
    </row>
    <row r="401">
      <c r="A401" s="42" t="s">
        <v>158</v>
      </c>
      <c r="B401" s="42">
        <v>40.0</v>
      </c>
      <c r="C401" s="42">
        <v>8.0</v>
      </c>
      <c r="D401" s="54">
        <v>795.0</v>
      </c>
      <c r="E401" s="54">
        <v>1199919.0</v>
      </c>
      <c r="F401" s="54">
        <v>796.0</v>
      </c>
      <c r="G401" s="54">
        <v>1081740.0</v>
      </c>
      <c r="H401" s="55">
        <v>793.0</v>
      </c>
      <c r="I401" s="54">
        <v>1211000.0</v>
      </c>
      <c r="J401" s="42">
        <v>788.0</v>
      </c>
      <c r="K401" s="42">
        <v>686784.0</v>
      </c>
      <c r="L401" s="32">
        <f t="shared" si="1"/>
        <v>-0.8805031447</v>
      </c>
      <c r="M401" s="32">
        <f t="shared" si="2"/>
        <v>-1.005025126</v>
      </c>
      <c r="N401" s="32">
        <f t="shared" si="3"/>
        <v>-0.630517024</v>
      </c>
    </row>
    <row r="402">
      <c r="A402" s="42" t="s">
        <v>158</v>
      </c>
      <c r="B402" s="42">
        <v>40.0</v>
      </c>
      <c r="C402" s="42">
        <v>9.0</v>
      </c>
      <c r="D402" s="54">
        <v>792.0</v>
      </c>
      <c r="E402" s="54">
        <v>1202991.0</v>
      </c>
      <c r="F402" s="54">
        <v>796.0</v>
      </c>
      <c r="G402" s="54">
        <v>1201588.0</v>
      </c>
      <c r="H402" s="55">
        <v>793.0</v>
      </c>
      <c r="I402" s="54">
        <v>1211000.0</v>
      </c>
      <c r="J402" s="42">
        <v>789.0</v>
      </c>
      <c r="K402" s="42">
        <v>671091.0</v>
      </c>
      <c r="L402" s="32">
        <f t="shared" si="1"/>
        <v>-0.3787878788</v>
      </c>
      <c r="M402" s="32">
        <f t="shared" si="2"/>
        <v>-0.8793969849</v>
      </c>
      <c r="N402" s="32">
        <f t="shared" si="3"/>
        <v>-0.5044136192</v>
      </c>
    </row>
    <row r="403">
      <c r="A403" s="42" t="s">
        <v>158</v>
      </c>
      <c r="B403" s="42">
        <v>40.0</v>
      </c>
      <c r="C403" s="42">
        <v>10.0</v>
      </c>
      <c r="D403" s="54">
        <v>793.0</v>
      </c>
      <c r="E403" s="54">
        <v>1199921.0</v>
      </c>
      <c r="F403" s="54">
        <v>796.0</v>
      </c>
      <c r="G403" s="54">
        <v>1081895.0</v>
      </c>
      <c r="H403" s="55">
        <v>793.0</v>
      </c>
      <c r="I403" s="54">
        <v>1211000.0</v>
      </c>
      <c r="J403" s="42">
        <v>789.0</v>
      </c>
      <c r="K403" s="42">
        <v>664783.0</v>
      </c>
      <c r="L403" s="32">
        <f t="shared" si="1"/>
        <v>-0.5044136192</v>
      </c>
      <c r="M403" s="32">
        <f t="shared" si="2"/>
        <v>-0.8793969849</v>
      </c>
      <c r="N403" s="32">
        <f t="shared" si="3"/>
        <v>-0.5044136192</v>
      </c>
    </row>
    <row r="404">
      <c r="A404" s="42" t="s">
        <v>158</v>
      </c>
      <c r="B404" s="42">
        <v>44.0</v>
      </c>
      <c r="C404" s="42">
        <v>1.0</v>
      </c>
      <c r="D404" s="54">
        <v>794.0</v>
      </c>
      <c r="E404" s="54">
        <v>1200042.0</v>
      </c>
      <c r="F404" s="54">
        <v>797.0</v>
      </c>
      <c r="G404" s="54">
        <v>1201690.0</v>
      </c>
      <c r="H404" s="55">
        <v>794.0</v>
      </c>
      <c r="I404" s="54">
        <v>1211000.0</v>
      </c>
      <c r="J404" s="42">
        <v>790.0</v>
      </c>
      <c r="K404" s="42">
        <v>720867.0</v>
      </c>
      <c r="L404" s="32">
        <f t="shared" si="1"/>
        <v>-0.5037783375</v>
      </c>
      <c r="M404" s="32">
        <f t="shared" si="2"/>
        <v>-0.878293601</v>
      </c>
      <c r="N404" s="32">
        <f t="shared" si="3"/>
        <v>-0.5037783375</v>
      </c>
    </row>
    <row r="405">
      <c r="A405" s="42" t="s">
        <v>158</v>
      </c>
      <c r="B405" s="42">
        <v>44.0</v>
      </c>
      <c r="C405" s="42">
        <v>2.0</v>
      </c>
      <c r="D405" s="54">
        <v>794.0</v>
      </c>
      <c r="E405" s="54">
        <v>1200662.0</v>
      </c>
      <c r="F405" s="54">
        <v>796.0</v>
      </c>
      <c r="G405" s="54">
        <v>1201435.0</v>
      </c>
      <c r="H405" s="55">
        <v>794.0</v>
      </c>
      <c r="I405" s="54">
        <v>1211000.0</v>
      </c>
      <c r="J405" s="42">
        <v>791.0</v>
      </c>
      <c r="K405" s="42">
        <v>723416.0</v>
      </c>
      <c r="L405" s="32">
        <f t="shared" si="1"/>
        <v>-0.3778337531</v>
      </c>
      <c r="M405" s="32">
        <f t="shared" si="2"/>
        <v>-0.6281407035</v>
      </c>
      <c r="N405" s="32">
        <f t="shared" si="3"/>
        <v>-0.3778337531</v>
      </c>
    </row>
    <row r="406">
      <c r="A406" s="42" t="s">
        <v>158</v>
      </c>
      <c r="B406" s="42">
        <v>44.0</v>
      </c>
      <c r="C406" s="42">
        <v>3.0</v>
      </c>
      <c r="D406" s="54">
        <v>795.0</v>
      </c>
      <c r="E406" s="54">
        <v>1201806.0</v>
      </c>
      <c r="F406" s="54">
        <v>797.0</v>
      </c>
      <c r="G406" s="54">
        <v>1081655.0</v>
      </c>
      <c r="H406" s="55">
        <v>794.0</v>
      </c>
      <c r="I406" s="54">
        <v>1211000.0</v>
      </c>
      <c r="J406" s="42">
        <v>790.0</v>
      </c>
      <c r="K406" s="42">
        <v>727595.0</v>
      </c>
      <c r="L406" s="32">
        <f t="shared" si="1"/>
        <v>-0.6289308176</v>
      </c>
      <c r="M406" s="32">
        <f t="shared" si="2"/>
        <v>-0.878293601</v>
      </c>
      <c r="N406" s="32">
        <f t="shared" si="3"/>
        <v>-0.5037783375</v>
      </c>
    </row>
    <row r="407">
      <c r="A407" s="42" t="s">
        <v>158</v>
      </c>
      <c r="B407" s="42">
        <v>44.0</v>
      </c>
      <c r="C407" s="42">
        <v>4.0</v>
      </c>
      <c r="D407" s="54">
        <v>793.0</v>
      </c>
      <c r="E407" s="54">
        <v>1200123.0</v>
      </c>
      <c r="F407" s="54">
        <v>797.0</v>
      </c>
      <c r="G407" s="54">
        <v>1081749.0</v>
      </c>
      <c r="H407" s="55">
        <v>794.0</v>
      </c>
      <c r="I407" s="54">
        <v>1211000.0</v>
      </c>
      <c r="J407" s="42">
        <v>791.0</v>
      </c>
      <c r="K407" s="42">
        <v>717826.0</v>
      </c>
      <c r="L407" s="32">
        <f t="shared" si="1"/>
        <v>-0.2522068096</v>
      </c>
      <c r="M407" s="32">
        <f t="shared" si="2"/>
        <v>-0.7528230866</v>
      </c>
      <c r="N407" s="32">
        <f t="shared" si="3"/>
        <v>-0.3778337531</v>
      </c>
    </row>
    <row r="408">
      <c r="A408" s="42" t="s">
        <v>158</v>
      </c>
      <c r="B408" s="42">
        <v>44.0</v>
      </c>
      <c r="C408" s="42">
        <v>5.0</v>
      </c>
      <c r="D408" s="54">
        <v>794.0</v>
      </c>
      <c r="E408" s="54">
        <v>1202585.0</v>
      </c>
      <c r="F408" s="54">
        <v>796.0</v>
      </c>
      <c r="G408" s="54">
        <v>1201456.0</v>
      </c>
      <c r="H408" s="55">
        <v>794.0</v>
      </c>
      <c r="I408" s="54">
        <v>1211000.0</v>
      </c>
      <c r="J408" s="42">
        <v>791.0</v>
      </c>
      <c r="K408" s="42">
        <v>719449.0</v>
      </c>
      <c r="L408" s="32">
        <f t="shared" si="1"/>
        <v>-0.3778337531</v>
      </c>
      <c r="M408" s="32">
        <f t="shared" si="2"/>
        <v>-0.6281407035</v>
      </c>
      <c r="N408" s="32">
        <f t="shared" si="3"/>
        <v>-0.3778337531</v>
      </c>
    </row>
    <row r="409">
      <c r="A409" s="42" t="s">
        <v>158</v>
      </c>
      <c r="B409" s="42">
        <v>44.0</v>
      </c>
      <c r="C409" s="42">
        <v>6.0</v>
      </c>
      <c r="D409" s="54">
        <v>793.0</v>
      </c>
      <c r="E409" s="54">
        <v>1200607.0</v>
      </c>
      <c r="F409" s="54">
        <v>796.0</v>
      </c>
      <c r="G409" s="54">
        <v>1081801.0</v>
      </c>
      <c r="H409" s="55">
        <v>794.0</v>
      </c>
      <c r="I409" s="54">
        <v>1211000.0</v>
      </c>
      <c r="J409" s="42">
        <v>792.0</v>
      </c>
      <c r="K409" s="42">
        <v>802770.0</v>
      </c>
      <c r="L409" s="32">
        <f t="shared" si="1"/>
        <v>-0.1261034048</v>
      </c>
      <c r="M409" s="32">
        <f t="shared" si="2"/>
        <v>-0.5025125628</v>
      </c>
      <c r="N409" s="32">
        <f t="shared" si="3"/>
        <v>-0.2518891688</v>
      </c>
    </row>
    <row r="410">
      <c r="A410" s="42" t="s">
        <v>158</v>
      </c>
      <c r="B410" s="42">
        <v>44.0</v>
      </c>
      <c r="C410" s="42">
        <v>7.0</v>
      </c>
      <c r="D410" s="54">
        <v>794.0</v>
      </c>
      <c r="E410" s="54">
        <v>1200202.0</v>
      </c>
      <c r="F410" s="54">
        <v>796.0</v>
      </c>
      <c r="G410" s="54">
        <v>1201398.0</v>
      </c>
      <c r="H410" s="55">
        <v>794.0</v>
      </c>
      <c r="I410" s="54">
        <v>1211000.0</v>
      </c>
      <c r="J410" s="42">
        <v>790.0</v>
      </c>
      <c r="K410" s="42">
        <v>715255.0</v>
      </c>
      <c r="L410" s="32">
        <f t="shared" si="1"/>
        <v>-0.5037783375</v>
      </c>
      <c r="M410" s="32">
        <f t="shared" si="2"/>
        <v>-0.7537688442</v>
      </c>
      <c r="N410" s="32">
        <f t="shared" si="3"/>
        <v>-0.5037783375</v>
      </c>
    </row>
    <row r="411">
      <c r="A411" s="42" t="s">
        <v>158</v>
      </c>
      <c r="B411" s="42">
        <v>44.0</v>
      </c>
      <c r="C411" s="42">
        <v>8.0</v>
      </c>
      <c r="D411" s="54">
        <v>794.0</v>
      </c>
      <c r="E411" s="54">
        <v>1201730.0</v>
      </c>
      <c r="F411" s="54">
        <v>796.0</v>
      </c>
      <c r="G411" s="54">
        <v>1081832.0</v>
      </c>
      <c r="H411" s="55">
        <v>794.0</v>
      </c>
      <c r="I411" s="54">
        <v>1211000.0</v>
      </c>
      <c r="J411" s="42">
        <v>791.0</v>
      </c>
      <c r="K411" s="42">
        <v>727927.0</v>
      </c>
      <c r="L411" s="32">
        <f t="shared" si="1"/>
        <v>-0.3778337531</v>
      </c>
      <c r="M411" s="32">
        <f t="shared" si="2"/>
        <v>-0.6281407035</v>
      </c>
      <c r="N411" s="32">
        <f t="shared" si="3"/>
        <v>-0.3778337531</v>
      </c>
    </row>
    <row r="412">
      <c r="A412" s="42" t="s">
        <v>158</v>
      </c>
      <c r="B412" s="42">
        <v>44.0</v>
      </c>
      <c r="C412" s="42">
        <v>9.0</v>
      </c>
      <c r="D412" s="54">
        <v>792.0</v>
      </c>
      <c r="E412" s="54">
        <v>1200754.0</v>
      </c>
      <c r="F412" s="54">
        <v>796.0</v>
      </c>
      <c r="G412" s="54">
        <v>1201723.0</v>
      </c>
      <c r="H412" s="55">
        <v>794.0</v>
      </c>
      <c r="I412" s="54">
        <v>1211000.0</v>
      </c>
      <c r="J412" s="42">
        <v>791.0</v>
      </c>
      <c r="K412" s="42">
        <v>728141.0</v>
      </c>
      <c r="L412" s="32">
        <f t="shared" si="1"/>
        <v>-0.1262626263</v>
      </c>
      <c r="M412" s="32">
        <f t="shared" si="2"/>
        <v>-0.6281407035</v>
      </c>
      <c r="N412" s="32">
        <f t="shared" si="3"/>
        <v>-0.3778337531</v>
      </c>
    </row>
    <row r="413">
      <c r="A413" s="42" t="s">
        <v>158</v>
      </c>
      <c r="B413" s="42">
        <v>44.0</v>
      </c>
      <c r="C413" s="42">
        <v>10.0</v>
      </c>
      <c r="D413" s="54">
        <v>794.0</v>
      </c>
      <c r="E413" s="54">
        <v>1202497.0</v>
      </c>
      <c r="F413" s="54">
        <v>796.0</v>
      </c>
      <c r="G413" s="54">
        <v>1201953.0</v>
      </c>
      <c r="H413" s="55">
        <v>794.0</v>
      </c>
      <c r="I413" s="54">
        <v>1211000.0</v>
      </c>
      <c r="J413" s="42">
        <v>791.0</v>
      </c>
      <c r="K413" s="42">
        <v>727814.0</v>
      </c>
      <c r="L413" s="32">
        <f t="shared" si="1"/>
        <v>-0.3778337531</v>
      </c>
      <c r="M413" s="32">
        <f t="shared" si="2"/>
        <v>-0.6281407035</v>
      </c>
      <c r="N413" s="32">
        <f t="shared" si="3"/>
        <v>-0.3778337531</v>
      </c>
    </row>
    <row r="414">
      <c r="A414" s="42" t="s">
        <v>158</v>
      </c>
      <c r="B414" s="42">
        <v>48.0</v>
      </c>
      <c r="C414" s="42">
        <v>1.0</v>
      </c>
      <c r="D414" s="54">
        <v>795.0</v>
      </c>
      <c r="E414" s="54">
        <v>1200019.0</v>
      </c>
      <c r="F414" s="54">
        <v>797.0</v>
      </c>
      <c r="G414" s="54">
        <v>1201644.0</v>
      </c>
      <c r="H414" s="55">
        <v>795.0</v>
      </c>
      <c r="I414" s="54">
        <v>1211000.0</v>
      </c>
      <c r="J414" s="42">
        <v>793.0</v>
      </c>
      <c r="K414" s="42">
        <v>790315.0</v>
      </c>
      <c r="L414" s="32">
        <f t="shared" si="1"/>
        <v>-0.251572327</v>
      </c>
      <c r="M414" s="32">
        <f t="shared" si="2"/>
        <v>-0.5018820577</v>
      </c>
      <c r="N414" s="32">
        <f t="shared" si="3"/>
        <v>-0.251572327</v>
      </c>
    </row>
    <row r="415">
      <c r="A415" s="42" t="s">
        <v>158</v>
      </c>
      <c r="B415" s="42">
        <v>48.0</v>
      </c>
      <c r="C415" s="42">
        <v>2.0</v>
      </c>
      <c r="D415" s="54">
        <v>795.0</v>
      </c>
      <c r="E415" s="54">
        <v>1200834.0</v>
      </c>
      <c r="F415" s="54">
        <v>797.0</v>
      </c>
      <c r="G415" s="54">
        <v>1201728.0</v>
      </c>
      <c r="H415" s="55">
        <v>795.0</v>
      </c>
      <c r="I415" s="54">
        <v>1211000.0</v>
      </c>
      <c r="J415" s="42">
        <v>793.0</v>
      </c>
      <c r="K415" s="42">
        <v>767681.0</v>
      </c>
      <c r="L415" s="32">
        <f t="shared" si="1"/>
        <v>-0.251572327</v>
      </c>
      <c r="M415" s="32">
        <f t="shared" si="2"/>
        <v>-0.5018820577</v>
      </c>
      <c r="N415" s="32">
        <f t="shared" si="3"/>
        <v>-0.251572327</v>
      </c>
    </row>
    <row r="416">
      <c r="A416" s="42" t="s">
        <v>158</v>
      </c>
      <c r="B416" s="42">
        <v>48.0</v>
      </c>
      <c r="C416" s="42">
        <v>3.0</v>
      </c>
      <c r="D416" s="54">
        <v>795.0</v>
      </c>
      <c r="E416" s="54">
        <v>1202332.0</v>
      </c>
      <c r="F416" s="54">
        <v>797.0</v>
      </c>
      <c r="G416" s="54">
        <v>1201576.0</v>
      </c>
      <c r="H416" s="55">
        <v>795.0</v>
      </c>
      <c r="I416" s="54">
        <v>1211000.0</v>
      </c>
      <c r="J416" s="42">
        <v>792.0</v>
      </c>
      <c r="K416" s="42">
        <v>830433.0</v>
      </c>
      <c r="L416" s="32">
        <f t="shared" si="1"/>
        <v>-0.3773584906</v>
      </c>
      <c r="M416" s="32">
        <f t="shared" si="2"/>
        <v>-0.6273525721</v>
      </c>
      <c r="N416" s="32">
        <f t="shared" si="3"/>
        <v>-0.3773584906</v>
      </c>
    </row>
    <row r="417">
      <c r="A417" s="42" t="s">
        <v>158</v>
      </c>
      <c r="B417" s="42">
        <v>48.0</v>
      </c>
      <c r="C417" s="42">
        <v>4.0</v>
      </c>
      <c r="D417" s="54">
        <v>795.0</v>
      </c>
      <c r="E417" s="54">
        <v>1201355.0</v>
      </c>
      <c r="F417" s="54">
        <v>797.0</v>
      </c>
      <c r="G417" s="54">
        <v>1201656.0</v>
      </c>
      <c r="H417" s="55">
        <v>795.0</v>
      </c>
      <c r="I417" s="54">
        <v>1211000.0</v>
      </c>
      <c r="J417" s="42">
        <v>793.0</v>
      </c>
      <c r="K417" s="42">
        <v>808169.0</v>
      </c>
      <c r="L417" s="32">
        <f t="shared" si="1"/>
        <v>-0.251572327</v>
      </c>
      <c r="M417" s="32">
        <f t="shared" si="2"/>
        <v>-0.5018820577</v>
      </c>
      <c r="N417" s="32">
        <f t="shared" si="3"/>
        <v>-0.251572327</v>
      </c>
    </row>
    <row r="418">
      <c r="A418" s="42" t="s">
        <v>158</v>
      </c>
      <c r="B418" s="42">
        <v>48.0</v>
      </c>
      <c r="C418" s="42">
        <v>5.0</v>
      </c>
      <c r="D418" s="54">
        <v>796.0</v>
      </c>
      <c r="E418" s="54">
        <v>1200177.0</v>
      </c>
      <c r="F418" s="54">
        <v>797.0</v>
      </c>
      <c r="G418" s="54">
        <v>1201143.0</v>
      </c>
      <c r="H418" s="55">
        <v>795.0</v>
      </c>
      <c r="I418" s="54">
        <v>1211000.0</v>
      </c>
      <c r="J418" s="42">
        <v>792.0</v>
      </c>
      <c r="K418" s="42">
        <v>784539.0</v>
      </c>
      <c r="L418" s="32">
        <f t="shared" si="1"/>
        <v>-0.5025125628</v>
      </c>
      <c r="M418" s="32">
        <f t="shared" si="2"/>
        <v>-0.6273525721</v>
      </c>
      <c r="N418" s="32">
        <f t="shared" si="3"/>
        <v>-0.3773584906</v>
      </c>
    </row>
    <row r="419">
      <c r="A419" s="42" t="s">
        <v>158</v>
      </c>
      <c r="B419" s="42">
        <v>48.0</v>
      </c>
      <c r="C419" s="42">
        <v>6.0</v>
      </c>
      <c r="D419" s="54">
        <v>795.0</v>
      </c>
      <c r="E419" s="54">
        <v>1201092.0</v>
      </c>
      <c r="F419" s="54">
        <v>797.0</v>
      </c>
      <c r="G419" s="54">
        <v>1201488.0</v>
      </c>
      <c r="H419" s="55">
        <v>795.0</v>
      </c>
      <c r="I419" s="54">
        <v>1211000.0</v>
      </c>
      <c r="J419" s="42">
        <v>793.0</v>
      </c>
      <c r="K419" s="42">
        <v>784384.0</v>
      </c>
      <c r="L419" s="32">
        <f t="shared" si="1"/>
        <v>-0.251572327</v>
      </c>
      <c r="M419" s="32">
        <f t="shared" si="2"/>
        <v>-0.5018820577</v>
      </c>
      <c r="N419" s="32">
        <f t="shared" si="3"/>
        <v>-0.251572327</v>
      </c>
    </row>
    <row r="420">
      <c r="A420" s="42" t="s">
        <v>158</v>
      </c>
      <c r="B420" s="42">
        <v>48.0</v>
      </c>
      <c r="C420" s="42">
        <v>7.0</v>
      </c>
      <c r="D420" s="54">
        <v>795.0</v>
      </c>
      <c r="E420" s="54">
        <v>1200167.0</v>
      </c>
      <c r="F420" s="54">
        <v>797.0</v>
      </c>
      <c r="G420" s="54">
        <v>1201545.0</v>
      </c>
      <c r="H420" s="55">
        <v>795.0</v>
      </c>
      <c r="I420" s="54">
        <v>1211000.0</v>
      </c>
      <c r="J420" s="42">
        <v>792.0</v>
      </c>
      <c r="K420" s="42">
        <v>781762.0</v>
      </c>
      <c r="L420" s="32">
        <f t="shared" si="1"/>
        <v>-0.3773584906</v>
      </c>
      <c r="M420" s="32">
        <f t="shared" si="2"/>
        <v>-0.6273525721</v>
      </c>
      <c r="N420" s="32">
        <f t="shared" si="3"/>
        <v>-0.3773584906</v>
      </c>
    </row>
    <row r="421">
      <c r="A421" s="42" t="s">
        <v>158</v>
      </c>
      <c r="B421" s="42">
        <v>48.0</v>
      </c>
      <c r="C421" s="42">
        <v>8.0</v>
      </c>
      <c r="D421" s="54">
        <v>795.0</v>
      </c>
      <c r="E421" s="54">
        <v>1201723.0</v>
      </c>
      <c r="F421" s="54">
        <v>797.0</v>
      </c>
      <c r="G421" s="54">
        <v>1201649.0</v>
      </c>
      <c r="H421" s="55">
        <v>795.0</v>
      </c>
      <c r="I421" s="54">
        <v>1211000.0</v>
      </c>
      <c r="J421" s="42">
        <v>792.0</v>
      </c>
      <c r="K421" s="42">
        <v>771347.0</v>
      </c>
      <c r="L421" s="32">
        <f t="shared" si="1"/>
        <v>-0.3773584906</v>
      </c>
      <c r="M421" s="32">
        <f t="shared" si="2"/>
        <v>-0.6273525721</v>
      </c>
      <c r="N421" s="32">
        <f t="shared" si="3"/>
        <v>-0.3773584906</v>
      </c>
    </row>
    <row r="422">
      <c r="A422" s="42" t="s">
        <v>158</v>
      </c>
      <c r="B422" s="42">
        <v>48.0</v>
      </c>
      <c r="C422" s="42">
        <v>9.0</v>
      </c>
      <c r="D422" s="54">
        <v>794.0</v>
      </c>
      <c r="E422" s="54">
        <v>1201997.0</v>
      </c>
      <c r="F422" s="54">
        <v>797.0</v>
      </c>
      <c r="G422" s="54">
        <v>1081530.0</v>
      </c>
      <c r="H422" s="55">
        <v>795.0</v>
      </c>
      <c r="I422" s="54">
        <v>1211000.0</v>
      </c>
      <c r="J422" s="42">
        <v>793.0</v>
      </c>
      <c r="K422" s="42">
        <v>769557.0</v>
      </c>
      <c r="L422" s="32">
        <f t="shared" si="1"/>
        <v>-0.1259445844</v>
      </c>
      <c r="M422" s="32">
        <f t="shared" si="2"/>
        <v>-0.5018820577</v>
      </c>
      <c r="N422" s="32">
        <f t="shared" si="3"/>
        <v>-0.251572327</v>
      </c>
    </row>
    <row r="423">
      <c r="A423" s="42" t="s">
        <v>158</v>
      </c>
      <c r="B423" s="42">
        <v>48.0</v>
      </c>
      <c r="C423" s="42">
        <v>10.0</v>
      </c>
      <c r="D423" s="54">
        <v>797.0</v>
      </c>
      <c r="E423" s="54">
        <v>1200086.0</v>
      </c>
      <c r="F423" s="54">
        <v>797.0</v>
      </c>
      <c r="G423" s="54">
        <v>1201682.0</v>
      </c>
      <c r="H423" s="55">
        <v>795.0</v>
      </c>
      <c r="I423" s="54">
        <v>1211000.0</v>
      </c>
      <c r="J423" s="42">
        <v>792.0</v>
      </c>
      <c r="K423" s="42">
        <v>780706.0</v>
      </c>
      <c r="L423" s="32">
        <f t="shared" si="1"/>
        <v>-0.6273525721</v>
      </c>
      <c r="M423" s="32">
        <f t="shared" si="2"/>
        <v>-0.6273525721</v>
      </c>
      <c r="N423" s="32">
        <f t="shared" si="3"/>
        <v>-0.3773584906</v>
      </c>
    </row>
    <row r="424">
      <c r="A424" s="42" t="s">
        <v>158</v>
      </c>
      <c r="B424" s="42">
        <v>50.0</v>
      </c>
      <c r="C424" s="42">
        <v>1.0</v>
      </c>
      <c r="D424" s="54">
        <v>795.0</v>
      </c>
      <c r="E424" s="54">
        <v>1201856.0</v>
      </c>
      <c r="F424" s="54">
        <v>797.0</v>
      </c>
      <c r="G424" s="54">
        <v>1081646.0</v>
      </c>
      <c r="H424" s="55">
        <v>795.0</v>
      </c>
      <c r="I424" s="54">
        <v>1211000.0</v>
      </c>
      <c r="J424" s="42">
        <v>793.0</v>
      </c>
      <c r="K424" s="42">
        <v>794254.0</v>
      </c>
      <c r="L424" s="32">
        <f t="shared" si="1"/>
        <v>-0.251572327</v>
      </c>
      <c r="M424" s="32">
        <f t="shared" si="2"/>
        <v>-0.5018820577</v>
      </c>
      <c r="N424" s="32">
        <f t="shared" si="3"/>
        <v>-0.251572327</v>
      </c>
    </row>
    <row r="425">
      <c r="A425" s="42" t="s">
        <v>158</v>
      </c>
      <c r="B425" s="42">
        <v>50.0</v>
      </c>
      <c r="C425" s="42">
        <v>2.0</v>
      </c>
      <c r="D425" s="54">
        <v>796.0</v>
      </c>
      <c r="E425" s="54">
        <v>1200104.0</v>
      </c>
      <c r="F425" s="54">
        <v>797.0</v>
      </c>
      <c r="G425" s="54">
        <v>1081753.0</v>
      </c>
      <c r="H425" s="55">
        <v>795.0</v>
      </c>
      <c r="I425" s="54">
        <v>1211000.0</v>
      </c>
      <c r="J425" s="42">
        <v>793.0</v>
      </c>
      <c r="K425" s="42">
        <v>812567.0</v>
      </c>
      <c r="L425" s="32">
        <f t="shared" si="1"/>
        <v>-0.3768844221</v>
      </c>
      <c r="M425" s="32">
        <f t="shared" si="2"/>
        <v>-0.5018820577</v>
      </c>
      <c r="N425" s="32">
        <f t="shared" si="3"/>
        <v>-0.251572327</v>
      </c>
    </row>
    <row r="426">
      <c r="A426" s="42" t="s">
        <v>158</v>
      </c>
      <c r="B426" s="42">
        <v>50.0</v>
      </c>
      <c r="C426" s="42">
        <v>3.0</v>
      </c>
      <c r="D426" s="54">
        <v>795.0</v>
      </c>
      <c r="E426" s="54">
        <v>1202462.0</v>
      </c>
      <c r="F426" s="54">
        <v>797.0</v>
      </c>
      <c r="G426" s="54">
        <v>1201833.0</v>
      </c>
      <c r="H426" s="55">
        <v>795.0</v>
      </c>
      <c r="I426" s="54">
        <v>1211000.0</v>
      </c>
      <c r="J426" s="42">
        <v>793.0</v>
      </c>
      <c r="K426" s="42">
        <v>820014.0</v>
      </c>
      <c r="L426" s="32">
        <f t="shared" si="1"/>
        <v>-0.251572327</v>
      </c>
      <c r="M426" s="32">
        <f t="shared" si="2"/>
        <v>-0.5018820577</v>
      </c>
      <c r="N426" s="32">
        <f t="shared" si="3"/>
        <v>-0.251572327</v>
      </c>
    </row>
    <row r="427">
      <c r="A427" s="42" t="s">
        <v>158</v>
      </c>
      <c r="B427" s="42">
        <v>50.0</v>
      </c>
      <c r="C427" s="42">
        <v>4.0</v>
      </c>
      <c r="D427" s="54">
        <v>796.0</v>
      </c>
      <c r="E427" s="54">
        <v>1202411.0</v>
      </c>
      <c r="F427" s="54">
        <v>797.0</v>
      </c>
      <c r="G427" s="54">
        <v>1081874.0</v>
      </c>
      <c r="H427" s="55">
        <v>796.0</v>
      </c>
      <c r="I427" s="54">
        <v>1211000.0</v>
      </c>
      <c r="J427" s="42">
        <v>793.0</v>
      </c>
      <c r="K427" s="42">
        <v>798510.0</v>
      </c>
      <c r="L427" s="32">
        <f t="shared" si="1"/>
        <v>-0.3768844221</v>
      </c>
      <c r="M427" s="32">
        <f t="shared" si="2"/>
        <v>-0.5018820577</v>
      </c>
      <c r="N427" s="32">
        <f t="shared" si="3"/>
        <v>-0.3768844221</v>
      </c>
    </row>
    <row r="428">
      <c r="A428" s="42" t="s">
        <v>158</v>
      </c>
      <c r="B428" s="42">
        <v>50.0</v>
      </c>
      <c r="C428" s="42">
        <v>5.0</v>
      </c>
      <c r="D428" s="54">
        <v>796.0</v>
      </c>
      <c r="E428" s="54">
        <v>1202527.0</v>
      </c>
      <c r="F428" s="54">
        <v>797.0</v>
      </c>
      <c r="G428" s="54">
        <v>1201581.0</v>
      </c>
      <c r="H428" s="55">
        <v>795.0</v>
      </c>
      <c r="I428" s="54">
        <v>1211000.0</v>
      </c>
      <c r="J428" s="42">
        <v>793.0</v>
      </c>
      <c r="K428" s="42">
        <v>819238.0</v>
      </c>
      <c r="L428" s="32">
        <f t="shared" si="1"/>
        <v>-0.3768844221</v>
      </c>
      <c r="M428" s="32">
        <f t="shared" si="2"/>
        <v>-0.5018820577</v>
      </c>
      <c r="N428" s="32">
        <f t="shared" si="3"/>
        <v>-0.251572327</v>
      </c>
    </row>
    <row r="429">
      <c r="A429" s="42" t="s">
        <v>158</v>
      </c>
      <c r="B429" s="42">
        <v>50.0</v>
      </c>
      <c r="C429" s="42">
        <v>6.0</v>
      </c>
      <c r="D429" s="54">
        <v>797.0</v>
      </c>
      <c r="E429" s="54">
        <v>1200274.0</v>
      </c>
      <c r="F429" s="54">
        <v>797.0</v>
      </c>
      <c r="G429" s="54">
        <v>1201511.0</v>
      </c>
      <c r="H429" s="55">
        <v>795.0</v>
      </c>
      <c r="I429" s="54">
        <v>1211000.0</v>
      </c>
      <c r="J429" s="42">
        <v>793.0</v>
      </c>
      <c r="K429" s="42">
        <v>808229.0</v>
      </c>
      <c r="L429" s="32">
        <f t="shared" si="1"/>
        <v>-0.5018820577</v>
      </c>
      <c r="M429" s="32">
        <f t="shared" si="2"/>
        <v>-0.5018820577</v>
      </c>
      <c r="N429" s="32">
        <f t="shared" si="3"/>
        <v>-0.251572327</v>
      </c>
    </row>
    <row r="430">
      <c r="A430" s="42" t="s">
        <v>158</v>
      </c>
      <c r="B430" s="42">
        <v>50.0</v>
      </c>
      <c r="C430" s="42">
        <v>7.0</v>
      </c>
      <c r="D430" s="54">
        <v>795.0</v>
      </c>
      <c r="E430" s="54">
        <v>1202131.0</v>
      </c>
      <c r="F430" s="54">
        <v>797.0</v>
      </c>
      <c r="G430" s="54">
        <v>1201460.0</v>
      </c>
      <c r="H430" s="55">
        <v>796.0</v>
      </c>
      <c r="I430" s="54">
        <v>1211000.0</v>
      </c>
      <c r="J430" s="42">
        <v>793.0</v>
      </c>
      <c r="K430" s="42">
        <v>812100.0</v>
      </c>
      <c r="L430" s="32">
        <f t="shared" si="1"/>
        <v>-0.251572327</v>
      </c>
      <c r="M430" s="32">
        <f t="shared" si="2"/>
        <v>-0.5018820577</v>
      </c>
      <c r="N430" s="32">
        <f t="shared" si="3"/>
        <v>-0.3768844221</v>
      </c>
    </row>
    <row r="431">
      <c r="A431" s="42" t="s">
        <v>158</v>
      </c>
      <c r="B431" s="42">
        <v>50.0</v>
      </c>
      <c r="C431" s="42">
        <v>8.0</v>
      </c>
      <c r="D431" s="54">
        <v>797.0</v>
      </c>
      <c r="E431" s="54">
        <v>1199996.0</v>
      </c>
      <c r="F431" s="54">
        <v>797.0</v>
      </c>
      <c r="G431" s="54">
        <v>1201600.0</v>
      </c>
      <c r="H431" s="55">
        <v>796.0</v>
      </c>
      <c r="I431" s="54">
        <v>1211000.0</v>
      </c>
      <c r="J431" s="42">
        <v>793.0</v>
      </c>
      <c r="K431" s="42">
        <v>820180.0</v>
      </c>
      <c r="L431" s="32">
        <f t="shared" si="1"/>
        <v>-0.5018820577</v>
      </c>
      <c r="M431" s="32">
        <f t="shared" si="2"/>
        <v>-0.5018820577</v>
      </c>
      <c r="N431" s="32">
        <f t="shared" si="3"/>
        <v>-0.3768844221</v>
      </c>
    </row>
    <row r="432">
      <c r="A432" s="42" t="s">
        <v>158</v>
      </c>
      <c r="B432" s="42">
        <v>50.0</v>
      </c>
      <c r="C432" s="42">
        <v>9.0</v>
      </c>
      <c r="D432" s="54">
        <v>796.0</v>
      </c>
      <c r="E432" s="54">
        <v>1200162.0</v>
      </c>
      <c r="F432" s="54">
        <v>797.0</v>
      </c>
      <c r="G432" s="54">
        <v>1201849.0</v>
      </c>
      <c r="H432" s="55">
        <v>796.0</v>
      </c>
      <c r="I432" s="54">
        <v>1211000.0</v>
      </c>
      <c r="J432" s="42">
        <v>793.0</v>
      </c>
      <c r="K432" s="42">
        <v>811243.0</v>
      </c>
      <c r="L432" s="32">
        <f t="shared" si="1"/>
        <v>-0.3768844221</v>
      </c>
      <c r="M432" s="32">
        <f t="shared" si="2"/>
        <v>-0.5018820577</v>
      </c>
      <c r="N432" s="32">
        <f t="shared" si="3"/>
        <v>-0.3768844221</v>
      </c>
    </row>
    <row r="433">
      <c r="A433" s="42" t="s">
        <v>158</v>
      </c>
      <c r="B433" s="42">
        <v>50.0</v>
      </c>
      <c r="C433" s="42">
        <v>10.0</v>
      </c>
      <c r="D433" s="54">
        <v>796.0</v>
      </c>
      <c r="E433" s="54">
        <v>1202169.0</v>
      </c>
      <c r="F433" s="54">
        <v>797.0</v>
      </c>
      <c r="G433" s="54">
        <v>1201715.0</v>
      </c>
      <c r="H433" s="55">
        <v>795.0</v>
      </c>
      <c r="I433" s="54">
        <v>1211000.0</v>
      </c>
      <c r="J433" s="42">
        <v>793.0</v>
      </c>
      <c r="K433" s="42">
        <v>815478.0</v>
      </c>
      <c r="L433" s="32">
        <f t="shared" si="1"/>
        <v>-0.3768844221</v>
      </c>
      <c r="M433" s="32">
        <f t="shared" si="2"/>
        <v>-0.5018820577</v>
      </c>
      <c r="N433" s="32">
        <f t="shared" si="3"/>
        <v>-0.251572327</v>
      </c>
    </row>
    <row r="434">
      <c r="A434" s="42" t="s">
        <v>159</v>
      </c>
      <c r="B434" s="42">
        <v>2.0</v>
      </c>
      <c r="C434" s="42">
        <v>1.0</v>
      </c>
      <c r="D434" s="54">
        <v>290.0</v>
      </c>
      <c r="E434" s="54">
        <v>1205606.0</v>
      </c>
      <c r="F434" s="54">
        <v>355.0</v>
      </c>
      <c r="G434" s="54">
        <v>1202731.0</v>
      </c>
      <c r="H434" s="55">
        <v>384.0</v>
      </c>
      <c r="I434" s="54">
        <v>1213000.0</v>
      </c>
      <c r="J434" s="42">
        <v>170.0</v>
      </c>
      <c r="K434" s="42">
        <v>148139.0</v>
      </c>
      <c r="L434" s="32">
        <f t="shared" si="1"/>
        <v>-41.37931034</v>
      </c>
      <c r="M434" s="32">
        <f t="shared" si="2"/>
        <v>-52.11267606</v>
      </c>
      <c r="N434" s="32">
        <f t="shared" si="3"/>
        <v>-55.72916667</v>
      </c>
    </row>
    <row r="435">
      <c r="A435" s="42" t="s">
        <v>159</v>
      </c>
      <c r="B435" s="42">
        <v>2.0</v>
      </c>
      <c r="C435" s="42">
        <v>2.0</v>
      </c>
      <c r="D435" s="54">
        <v>283.0</v>
      </c>
      <c r="E435" s="54">
        <v>1204535.0</v>
      </c>
      <c r="F435" s="54">
        <v>347.0</v>
      </c>
      <c r="G435" s="54">
        <v>1202797.0</v>
      </c>
      <c r="H435" s="55">
        <v>378.0</v>
      </c>
      <c r="I435" s="54">
        <v>1213000.0</v>
      </c>
      <c r="J435" s="42">
        <v>172.0</v>
      </c>
      <c r="K435" s="42">
        <v>156722.0</v>
      </c>
      <c r="L435" s="32">
        <f t="shared" si="1"/>
        <v>-39.22261484</v>
      </c>
      <c r="M435" s="32">
        <f t="shared" si="2"/>
        <v>-50.43227666</v>
      </c>
      <c r="N435" s="32">
        <f t="shared" si="3"/>
        <v>-54.4973545</v>
      </c>
    </row>
    <row r="436">
      <c r="A436" s="42" t="s">
        <v>159</v>
      </c>
      <c r="B436" s="42">
        <v>2.0</v>
      </c>
      <c r="C436" s="42">
        <v>3.0</v>
      </c>
      <c r="D436" s="54">
        <v>293.0</v>
      </c>
      <c r="E436" s="54">
        <v>1202107.0</v>
      </c>
      <c r="F436" s="54">
        <v>346.0</v>
      </c>
      <c r="G436" s="54">
        <v>1203030.0</v>
      </c>
      <c r="H436" s="55">
        <v>374.0</v>
      </c>
      <c r="I436" s="54">
        <v>1213000.0</v>
      </c>
      <c r="J436" s="42">
        <v>168.0</v>
      </c>
      <c r="K436" s="42">
        <v>148719.0</v>
      </c>
      <c r="L436" s="32">
        <f t="shared" si="1"/>
        <v>-42.66211604</v>
      </c>
      <c r="M436" s="32">
        <f t="shared" si="2"/>
        <v>-51.44508671</v>
      </c>
      <c r="N436" s="32">
        <f t="shared" si="3"/>
        <v>-55.0802139</v>
      </c>
    </row>
    <row r="437">
      <c r="A437" s="42" t="s">
        <v>159</v>
      </c>
      <c r="B437" s="42">
        <v>2.0</v>
      </c>
      <c r="C437" s="42">
        <v>4.0</v>
      </c>
      <c r="D437" s="54">
        <v>291.0</v>
      </c>
      <c r="E437" s="54">
        <v>1206278.0</v>
      </c>
      <c r="F437" s="54">
        <v>349.0</v>
      </c>
      <c r="G437" s="54">
        <v>1082451.0</v>
      </c>
      <c r="H437" s="55">
        <v>379.0</v>
      </c>
      <c r="I437" s="54">
        <v>1213000.0</v>
      </c>
      <c r="J437" s="42">
        <v>176.0</v>
      </c>
      <c r="K437" s="42">
        <v>152463.0</v>
      </c>
      <c r="L437" s="32">
        <f t="shared" si="1"/>
        <v>-39.51890034</v>
      </c>
      <c r="M437" s="32">
        <f t="shared" si="2"/>
        <v>-49.57020057</v>
      </c>
      <c r="N437" s="32">
        <f t="shared" si="3"/>
        <v>-53.56200528</v>
      </c>
    </row>
    <row r="438">
      <c r="A438" s="42" t="s">
        <v>159</v>
      </c>
      <c r="B438" s="42">
        <v>2.0</v>
      </c>
      <c r="C438" s="42">
        <v>5.0</v>
      </c>
      <c r="D438" s="54">
        <v>285.0</v>
      </c>
      <c r="E438" s="54">
        <v>1200710.0</v>
      </c>
      <c r="F438" s="54">
        <v>350.0</v>
      </c>
      <c r="G438" s="54">
        <v>1082519.0</v>
      </c>
      <c r="H438" s="55">
        <v>381.0</v>
      </c>
      <c r="I438" s="54">
        <v>1213000.0</v>
      </c>
      <c r="J438" s="42">
        <v>172.0</v>
      </c>
      <c r="K438" s="42">
        <v>153467.0</v>
      </c>
      <c r="L438" s="32">
        <f t="shared" si="1"/>
        <v>-39.64912281</v>
      </c>
      <c r="M438" s="32">
        <f t="shared" si="2"/>
        <v>-50.85714286</v>
      </c>
      <c r="N438" s="32">
        <f t="shared" si="3"/>
        <v>-54.85564304</v>
      </c>
    </row>
    <row r="439">
      <c r="A439" s="42" t="s">
        <v>159</v>
      </c>
      <c r="B439" s="42">
        <v>2.0</v>
      </c>
      <c r="C439" s="42">
        <v>6.0</v>
      </c>
      <c r="D439" s="54">
        <v>278.0</v>
      </c>
      <c r="E439" s="54">
        <v>1205179.0</v>
      </c>
      <c r="F439" s="54">
        <v>341.0</v>
      </c>
      <c r="G439" s="54">
        <v>1203096.0</v>
      </c>
      <c r="H439" s="55">
        <v>372.0</v>
      </c>
      <c r="I439" s="54">
        <v>1213000.0</v>
      </c>
      <c r="J439" s="42">
        <v>170.0</v>
      </c>
      <c r="K439" s="42">
        <v>150835.0</v>
      </c>
      <c r="L439" s="32">
        <f t="shared" si="1"/>
        <v>-38.84892086</v>
      </c>
      <c r="M439" s="32">
        <f t="shared" si="2"/>
        <v>-50.14662757</v>
      </c>
      <c r="N439" s="32">
        <f t="shared" si="3"/>
        <v>-54.30107527</v>
      </c>
    </row>
    <row r="440">
      <c r="A440" s="42" t="s">
        <v>159</v>
      </c>
      <c r="B440" s="42">
        <v>2.0</v>
      </c>
      <c r="C440" s="42">
        <v>7.0</v>
      </c>
      <c r="D440" s="54">
        <v>275.0</v>
      </c>
      <c r="E440" s="54">
        <v>1204791.0</v>
      </c>
      <c r="F440" s="54">
        <v>348.0</v>
      </c>
      <c r="G440" s="54">
        <v>1082812.0</v>
      </c>
      <c r="H440" s="55">
        <v>375.0</v>
      </c>
      <c r="I440" s="54">
        <v>1213000.0</v>
      </c>
      <c r="J440" s="42">
        <v>172.0</v>
      </c>
      <c r="K440" s="42">
        <v>147326.0</v>
      </c>
      <c r="L440" s="32">
        <f t="shared" si="1"/>
        <v>-37.45454545</v>
      </c>
      <c r="M440" s="32">
        <f t="shared" si="2"/>
        <v>-50.57471264</v>
      </c>
      <c r="N440" s="32">
        <f t="shared" si="3"/>
        <v>-54.13333333</v>
      </c>
    </row>
    <row r="441">
      <c r="A441" s="42" t="s">
        <v>159</v>
      </c>
      <c r="B441" s="42">
        <v>2.0</v>
      </c>
      <c r="C441" s="42">
        <v>8.0</v>
      </c>
      <c r="D441" s="54">
        <v>286.0</v>
      </c>
      <c r="E441" s="54">
        <v>1204643.0</v>
      </c>
      <c r="F441" s="54">
        <v>337.0</v>
      </c>
      <c r="G441" s="54">
        <v>1202496.0</v>
      </c>
      <c r="H441" s="55">
        <v>377.0</v>
      </c>
      <c r="I441" s="54">
        <v>1213000.0</v>
      </c>
      <c r="J441" s="42">
        <v>172.0</v>
      </c>
      <c r="K441" s="42">
        <v>150274.0</v>
      </c>
      <c r="L441" s="32">
        <f t="shared" si="1"/>
        <v>-39.86013986</v>
      </c>
      <c r="M441" s="32">
        <f t="shared" si="2"/>
        <v>-48.96142433</v>
      </c>
      <c r="N441" s="32">
        <f t="shared" si="3"/>
        <v>-54.37665782</v>
      </c>
    </row>
    <row r="442">
      <c r="A442" s="42" t="s">
        <v>159</v>
      </c>
      <c r="B442" s="42">
        <v>2.0</v>
      </c>
      <c r="C442" s="42">
        <v>9.0</v>
      </c>
      <c r="D442" s="54">
        <v>266.0</v>
      </c>
      <c r="E442" s="54">
        <v>1205871.0</v>
      </c>
      <c r="F442" s="54">
        <v>348.0</v>
      </c>
      <c r="G442" s="54">
        <v>1202811.0</v>
      </c>
      <c r="H442" s="55">
        <v>364.0</v>
      </c>
      <c r="I442" s="54">
        <v>1213000.0</v>
      </c>
      <c r="J442" s="42">
        <v>166.0</v>
      </c>
      <c r="K442" s="42">
        <v>150133.0</v>
      </c>
      <c r="L442" s="32">
        <f t="shared" si="1"/>
        <v>-37.59398496</v>
      </c>
      <c r="M442" s="32">
        <f t="shared" si="2"/>
        <v>-52.29885057</v>
      </c>
      <c r="N442" s="32">
        <f t="shared" si="3"/>
        <v>-54.3956044</v>
      </c>
    </row>
    <row r="443">
      <c r="A443" s="42" t="s">
        <v>159</v>
      </c>
      <c r="B443" s="42">
        <v>2.0</v>
      </c>
      <c r="C443" s="42">
        <v>10.0</v>
      </c>
      <c r="D443" s="54">
        <v>288.0</v>
      </c>
      <c r="E443" s="54">
        <v>1206349.0</v>
      </c>
      <c r="F443" s="54">
        <v>349.0</v>
      </c>
      <c r="G443" s="54">
        <v>1202925.0</v>
      </c>
      <c r="H443" s="55">
        <v>376.0</v>
      </c>
      <c r="I443" s="54">
        <v>1213000.0</v>
      </c>
      <c r="J443" s="42">
        <v>172.0</v>
      </c>
      <c r="K443" s="42">
        <v>149692.0</v>
      </c>
      <c r="L443" s="32">
        <f t="shared" si="1"/>
        <v>-40.27777778</v>
      </c>
      <c r="M443" s="32">
        <f t="shared" si="2"/>
        <v>-50.71633238</v>
      </c>
      <c r="N443" s="32">
        <f t="shared" si="3"/>
        <v>-54.25531915</v>
      </c>
    </row>
    <row r="444">
      <c r="A444" s="42" t="s">
        <v>159</v>
      </c>
      <c r="B444" s="42">
        <v>4.0</v>
      </c>
      <c r="C444" s="42">
        <v>1.0</v>
      </c>
      <c r="D444" s="54">
        <v>528.0</v>
      </c>
      <c r="E444" s="54">
        <v>1203328.0</v>
      </c>
      <c r="F444" s="54">
        <v>569.0</v>
      </c>
      <c r="G444" s="54">
        <v>1202427.0</v>
      </c>
      <c r="H444" s="55">
        <v>605.0</v>
      </c>
      <c r="I444" s="54">
        <v>1213000.0</v>
      </c>
      <c r="J444" s="42">
        <v>395.0</v>
      </c>
      <c r="K444" s="42">
        <v>189140.0</v>
      </c>
      <c r="L444" s="32">
        <f t="shared" si="1"/>
        <v>-25.18939394</v>
      </c>
      <c r="M444" s="32">
        <f t="shared" si="2"/>
        <v>-30.57996485</v>
      </c>
      <c r="N444" s="32">
        <f t="shared" si="3"/>
        <v>-34.7107438</v>
      </c>
    </row>
    <row r="445">
      <c r="A445" s="42" t="s">
        <v>159</v>
      </c>
      <c r="B445" s="42">
        <v>4.0</v>
      </c>
      <c r="C445" s="42">
        <v>2.0</v>
      </c>
      <c r="D445" s="54">
        <v>510.0</v>
      </c>
      <c r="E445" s="54">
        <v>1205210.0</v>
      </c>
      <c r="F445" s="54">
        <v>580.0</v>
      </c>
      <c r="G445" s="54">
        <v>1082466.0</v>
      </c>
      <c r="H445" s="55">
        <v>604.0</v>
      </c>
      <c r="I445" s="54">
        <v>1213000.0</v>
      </c>
      <c r="J445" s="42">
        <v>391.0</v>
      </c>
      <c r="K445" s="42">
        <v>184843.0</v>
      </c>
      <c r="L445" s="32">
        <f t="shared" si="1"/>
        <v>-23.33333333</v>
      </c>
      <c r="M445" s="32">
        <f t="shared" si="2"/>
        <v>-32.5862069</v>
      </c>
      <c r="N445" s="32">
        <f t="shared" si="3"/>
        <v>-35.26490066</v>
      </c>
    </row>
    <row r="446">
      <c r="A446" s="42" t="s">
        <v>159</v>
      </c>
      <c r="B446" s="42">
        <v>4.0</v>
      </c>
      <c r="C446" s="42">
        <v>3.0</v>
      </c>
      <c r="D446" s="54">
        <v>544.0</v>
      </c>
      <c r="E446" s="54">
        <v>1201279.0</v>
      </c>
      <c r="F446" s="54">
        <v>585.0</v>
      </c>
      <c r="G446" s="54">
        <v>1082939.0</v>
      </c>
      <c r="H446" s="55">
        <v>617.0</v>
      </c>
      <c r="I446" s="54">
        <v>1213000.0</v>
      </c>
      <c r="J446" s="42">
        <v>417.0</v>
      </c>
      <c r="K446" s="42">
        <v>193012.0</v>
      </c>
      <c r="L446" s="32">
        <f t="shared" si="1"/>
        <v>-23.34558824</v>
      </c>
      <c r="M446" s="32">
        <f t="shared" si="2"/>
        <v>-28.71794872</v>
      </c>
      <c r="N446" s="32">
        <f t="shared" si="3"/>
        <v>-32.41491086</v>
      </c>
    </row>
    <row r="447">
      <c r="A447" s="42" t="s">
        <v>159</v>
      </c>
      <c r="B447" s="42">
        <v>4.0</v>
      </c>
      <c r="C447" s="42">
        <v>4.0</v>
      </c>
      <c r="D447" s="54">
        <v>531.0</v>
      </c>
      <c r="E447" s="54">
        <v>1202670.0</v>
      </c>
      <c r="F447" s="54">
        <v>587.0</v>
      </c>
      <c r="G447" s="54">
        <v>1202970.0</v>
      </c>
      <c r="H447" s="55">
        <v>610.0</v>
      </c>
      <c r="I447" s="54">
        <v>1213000.0</v>
      </c>
      <c r="J447" s="42">
        <v>399.0</v>
      </c>
      <c r="K447" s="42">
        <v>184601.0</v>
      </c>
      <c r="L447" s="32">
        <f t="shared" si="1"/>
        <v>-24.85875706</v>
      </c>
      <c r="M447" s="32">
        <f t="shared" si="2"/>
        <v>-32.02725724</v>
      </c>
      <c r="N447" s="32">
        <f t="shared" si="3"/>
        <v>-34.59016393</v>
      </c>
    </row>
    <row r="448">
      <c r="A448" s="42" t="s">
        <v>159</v>
      </c>
      <c r="B448" s="42">
        <v>4.0</v>
      </c>
      <c r="C448" s="42">
        <v>5.0</v>
      </c>
      <c r="D448" s="54">
        <v>559.0</v>
      </c>
      <c r="E448" s="54">
        <v>1201132.0</v>
      </c>
      <c r="F448" s="54">
        <v>586.0</v>
      </c>
      <c r="G448" s="54">
        <v>1202320.0</v>
      </c>
      <c r="H448" s="55">
        <v>617.0</v>
      </c>
      <c r="I448" s="54">
        <v>1213000.0</v>
      </c>
      <c r="J448" s="42">
        <v>410.0</v>
      </c>
      <c r="K448" s="42">
        <v>187271.0</v>
      </c>
      <c r="L448" s="32">
        <f t="shared" si="1"/>
        <v>-26.65474061</v>
      </c>
      <c r="M448" s="32">
        <f t="shared" si="2"/>
        <v>-30.03412969</v>
      </c>
      <c r="N448" s="32">
        <f t="shared" si="3"/>
        <v>-33.54943274</v>
      </c>
    </row>
    <row r="449">
      <c r="A449" s="42" t="s">
        <v>159</v>
      </c>
      <c r="B449" s="42">
        <v>4.0</v>
      </c>
      <c r="C449" s="42">
        <v>6.0</v>
      </c>
      <c r="D449" s="54">
        <v>530.0</v>
      </c>
      <c r="E449" s="54">
        <v>1203368.0</v>
      </c>
      <c r="F449" s="54">
        <v>573.0</v>
      </c>
      <c r="G449" s="54">
        <v>1203061.0</v>
      </c>
      <c r="H449" s="55">
        <v>598.0</v>
      </c>
      <c r="I449" s="54">
        <v>1213000.0</v>
      </c>
      <c r="J449" s="42">
        <v>389.0</v>
      </c>
      <c r="K449" s="42">
        <v>184880.0</v>
      </c>
      <c r="L449" s="32">
        <f t="shared" si="1"/>
        <v>-26.60377358</v>
      </c>
      <c r="M449" s="32">
        <f t="shared" si="2"/>
        <v>-32.11169284</v>
      </c>
      <c r="N449" s="32">
        <f t="shared" si="3"/>
        <v>-34.94983278</v>
      </c>
    </row>
    <row r="450">
      <c r="A450" s="42" t="s">
        <v>159</v>
      </c>
      <c r="B450" s="42">
        <v>4.0</v>
      </c>
      <c r="C450" s="42">
        <v>7.0</v>
      </c>
      <c r="D450" s="54">
        <v>561.0</v>
      </c>
      <c r="E450" s="54">
        <v>1202081.0</v>
      </c>
      <c r="F450" s="54">
        <v>589.0</v>
      </c>
      <c r="G450" s="54">
        <v>1203114.0</v>
      </c>
      <c r="H450" s="55">
        <v>612.0</v>
      </c>
      <c r="I450" s="54">
        <v>1213000.0</v>
      </c>
      <c r="J450" s="42">
        <v>404.0</v>
      </c>
      <c r="K450" s="42">
        <v>194923.0</v>
      </c>
      <c r="L450" s="32">
        <f t="shared" si="1"/>
        <v>-27.98573975</v>
      </c>
      <c r="M450" s="32">
        <f t="shared" si="2"/>
        <v>-31.40916808</v>
      </c>
      <c r="N450" s="32">
        <f t="shared" si="3"/>
        <v>-33.9869281</v>
      </c>
    </row>
    <row r="451">
      <c r="A451" s="42" t="s">
        <v>159</v>
      </c>
      <c r="B451" s="42">
        <v>4.0</v>
      </c>
      <c r="C451" s="42">
        <v>8.0</v>
      </c>
      <c r="D451" s="54">
        <v>515.0</v>
      </c>
      <c r="E451" s="54">
        <v>1206038.0</v>
      </c>
      <c r="F451" s="54">
        <v>580.0</v>
      </c>
      <c r="G451" s="54">
        <v>1202505.0</v>
      </c>
      <c r="H451" s="55">
        <v>601.0</v>
      </c>
      <c r="I451" s="54">
        <v>1213000.0</v>
      </c>
      <c r="J451" s="42">
        <v>387.0</v>
      </c>
      <c r="K451" s="42">
        <v>182653.0</v>
      </c>
      <c r="L451" s="32">
        <f t="shared" si="1"/>
        <v>-24.85436893</v>
      </c>
      <c r="M451" s="32">
        <f t="shared" si="2"/>
        <v>-33.27586207</v>
      </c>
      <c r="N451" s="32">
        <f t="shared" si="3"/>
        <v>-35.60732113</v>
      </c>
    </row>
    <row r="452">
      <c r="A452" s="42" t="s">
        <v>159</v>
      </c>
      <c r="B452" s="42">
        <v>4.0</v>
      </c>
      <c r="C452" s="42">
        <v>9.0</v>
      </c>
      <c r="D452" s="54">
        <v>513.0</v>
      </c>
      <c r="E452" s="54">
        <v>1203302.0</v>
      </c>
      <c r="F452" s="54">
        <v>593.0</v>
      </c>
      <c r="G452" s="54">
        <v>1203021.0</v>
      </c>
      <c r="H452" s="55">
        <v>605.0</v>
      </c>
      <c r="I452" s="54">
        <v>1213000.0</v>
      </c>
      <c r="J452" s="42">
        <v>392.0</v>
      </c>
      <c r="K452" s="42">
        <v>197364.0</v>
      </c>
      <c r="L452" s="32">
        <f t="shared" si="1"/>
        <v>-23.58674464</v>
      </c>
      <c r="M452" s="32">
        <f t="shared" si="2"/>
        <v>-33.89544688</v>
      </c>
      <c r="N452" s="32">
        <f t="shared" si="3"/>
        <v>-35.20661157</v>
      </c>
    </row>
    <row r="453">
      <c r="A453" s="42" t="s">
        <v>159</v>
      </c>
      <c r="B453" s="42">
        <v>4.0</v>
      </c>
      <c r="C453" s="42">
        <v>10.0</v>
      </c>
      <c r="D453" s="54">
        <v>543.0</v>
      </c>
      <c r="E453" s="54">
        <v>1204308.0</v>
      </c>
      <c r="F453" s="54">
        <v>583.0</v>
      </c>
      <c r="G453" s="54">
        <v>1202360.0</v>
      </c>
      <c r="H453" s="55">
        <v>610.0</v>
      </c>
      <c r="I453" s="54">
        <v>1213000.0</v>
      </c>
      <c r="J453" s="42">
        <v>400.0</v>
      </c>
      <c r="K453" s="42">
        <v>184670.0</v>
      </c>
      <c r="L453" s="32">
        <f t="shared" si="1"/>
        <v>-26.33517495</v>
      </c>
      <c r="M453" s="32">
        <f t="shared" si="2"/>
        <v>-31.38936535</v>
      </c>
      <c r="N453" s="32">
        <f t="shared" si="3"/>
        <v>-34.42622951</v>
      </c>
    </row>
    <row r="454">
      <c r="A454" s="42" t="s">
        <v>159</v>
      </c>
      <c r="B454" s="42">
        <v>6.0</v>
      </c>
      <c r="C454" s="42">
        <v>1.0</v>
      </c>
      <c r="D454" s="54">
        <v>734.0</v>
      </c>
      <c r="E454" s="54">
        <v>1203418.0</v>
      </c>
      <c r="F454" s="54">
        <v>783.0</v>
      </c>
      <c r="G454" s="54">
        <v>1202777.0</v>
      </c>
      <c r="H454" s="55">
        <v>783.0</v>
      </c>
      <c r="I454" s="54">
        <v>1213000.0</v>
      </c>
      <c r="J454" s="42">
        <v>615.0</v>
      </c>
      <c r="K454" s="42">
        <v>229769.0</v>
      </c>
      <c r="L454" s="32">
        <f t="shared" si="1"/>
        <v>-16.21253406</v>
      </c>
      <c r="M454" s="32">
        <f t="shared" si="2"/>
        <v>-21.4559387</v>
      </c>
      <c r="N454" s="32">
        <f t="shared" si="3"/>
        <v>-21.4559387</v>
      </c>
    </row>
    <row r="455">
      <c r="A455" s="42" t="s">
        <v>159</v>
      </c>
      <c r="B455" s="42">
        <v>6.0</v>
      </c>
      <c r="C455" s="42">
        <v>2.0</v>
      </c>
      <c r="D455" s="54">
        <v>724.0</v>
      </c>
      <c r="E455" s="54">
        <v>1200221.0</v>
      </c>
      <c r="F455" s="54">
        <v>770.0</v>
      </c>
      <c r="G455" s="54">
        <v>1202891.0</v>
      </c>
      <c r="H455" s="55">
        <v>777.0</v>
      </c>
      <c r="I455" s="54">
        <v>1213000.0</v>
      </c>
      <c r="J455" s="42">
        <v>607.0</v>
      </c>
      <c r="K455" s="42">
        <v>232674.0</v>
      </c>
      <c r="L455" s="32">
        <f t="shared" si="1"/>
        <v>-16.16022099</v>
      </c>
      <c r="M455" s="32">
        <f t="shared" si="2"/>
        <v>-21.16883117</v>
      </c>
      <c r="N455" s="32">
        <f t="shared" si="3"/>
        <v>-21.87902188</v>
      </c>
    </row>
    <row r="456">
      <c r="A456" s="42" t="s">
        <v>159</v>
      </c>
      <c r="B456" s="42">
        <v>6.0</v>
      </c>
      <c r="C456" s="42">
        <v>3.0</v>
      </c>
      <c r="D456" s="54">
        <v>689.0</v>
      </c>
      <c r="E456" s="54">
        <v>1205497.0</v>
      </c>
      <c r="F456" s="54">
        <v>761.0</v>
      </c>
      <c r="G456" s="54">
        <v>1082507.0</v>
      </c>
      <c r="H456" s="55">
        <v>763.0</v>
      </c>
      <c r="I456" s="54">
        <v>1213000.0</v>
      </c>
      <c r="J456" s="42">
        <v>587.0</v>
      </c>
      <c r="K456" s="42">
        <v>221711.0</v>
      </c>
      <c r="L456" s="32">
        <f t="shared" si="1"/>
        <v>-14.80406386</v>
      </c>
      <c r="M456" s="32">
        <f t="shared" si="2"/>
        <v>-22.86465177</v>
      </c>
      <c r="N456" s="32">
        <f t="shared" si="3"/>
        <v>-23.06684142</v>
      </c>
    </row>
    <row r="457">
      <c r="A457" s="42" t="s">
        <v>159</v>
      </c>
      <c r="B457" s="42">
        <v>6.0</v>
      </c>
      <c r="C457" s="42">
        <v>4.0</v>
      </c>
      <c r="D457" s="54">
        <v>707.0</v>
      </c>
      <c r="E457" s="54">
        <v>1202843.0</v>
      </c>
      <c r="F457" s="54">
        <v>765.0</v>
      </c>
      <c r="G457" s="54">
        <v>1202463.0</v>
      </c>
      <c r="H457" s="55">
        <v>767.0</v>
      </c>
      <c r="I457" s="54">
        <v>1213000.0</v>
      </c>
      <c r="J457" s="42">
        <v>590.0</v>
      </c>
      <c r="K457" s="42">
        <v>226398.0</v>
      </c>
      <c r="L457" s="32">
        <f t="shared" si="1"/>
        <v>-16.54879774</v>
      </c>
      <c r="M457" s="32">
        <f t="shared" si="2"/>
        <v>-22.87581699</v>
      </c>
      <c r="N457" s="32">
        <f t="shared" si="3"/>
        <v>-23.07692308</v>
      </c>
    </row>
    <row r="458">
      <c r="A458" s="42" t="s">
        <v>159</v>
      </c>
      <c r="B458" s="42">
        <v>6.0</v>
      </c>
      <c r="C458" s="42">
        <v>5.0</v>
      </c>
      <c r="D458" s="54">
        <v>719.0</v>
      </c>
      <c r="E458" s="54">
        <v>1199942.0</v>
      </c>
      <c r="F458" s="54">
        <v>759.0</v>
      </c>
      <c r="G458" s="54">
        <v>1082942.0</v>
      </c>
      <c r="H458" s="55">
        <v>773.0</v>
      </c>
      <c r="I458" s="54">
        <v>1213000.0</v>
      </c>
      <c r="J458" s="42">
        <v>602.0</v>
      </c>
      <c r="K458" s="42">
        <v>226249.0</v>
      </c>
      <c r="L458" s="32">
        <f t="shared" si="1"/>
        <v>-16.27260083</v>
      </c>
      <c r="M458" s="32">
        <f t="shared" si="2"/>
        <v>-20.68511199</v>
      </c>
      <c r="N458" s="32">
        <f t="shared" si="3"/>
        <v>-22.12160414</v>
      </c>
    </row>
    <row r="459">
      <c r="A459" s="42" t="s">
        <v>159</v>
      </c>
      <c r="B459" s="42">
        <v>6.0</v>
      </c>
      <c r="C459" s="42">
        <v>6.0</v>
      </c>
      <c r="D459" s="54">
        <v>738.0</v>
      </c>
      <c r="E459" s="54">
        <v>1202663.0</v>
      </c>
      <c r="F459" s="54">
        <v>771.0</v>
      </c>
      <c r="G459" s="54">
        <v>1203045.0</v>
      </c>
      <c r="H459" s="55">
        <v>785.0</v>
      </c>
      <c r="I459" s="54">
        <v>1213000.0</v>
      </c>
      <c r="J459" s="42">
        <v>610.0</v>
      </c>
      <c r="K459" s="42">
        <v>230019.0</v>
      </c>
      <c r="L459" s="32">
        <f t="shared" si="1"/>
        <v>-17.34417344</v>
      </c>
      <c r="M459" s="32">
        <f t="shared" si="2"/>
        <v>-20.88197147</v>
      </c>
      <c r="N459" s="32">
        <f t="shared" si="3"/>
        <v>-22.29299363</v>
      </c>
    </row>
    <row r="460">
      <c r="A460" s="42" t="s">
        <v>159</v>
      </c>
      <c r="B460" s="42">
        <v>6.0</v>
      </c>
      <c r="C460" s="42">
        <v>7.0</v>
      </c>
      <c r="D460" s="54">
        <v>712.0</v>
      </c>
      <c r="E460" s="54">
        <v>1200023.0</v>
      </c>
      <c r="F460" s="54">
        <v>751.0</v>
      </c>
      <c r="G460" s="54">
        <v>1202239.0</v>
      </c>
      <c r="H460" s="55">
        <v>769.0</v>
      </c>
      <c r="I460" s="54">
        <v>1214000.0</v>
      </c>
      <c r="J460" s="42">
        <v>588.0</v>
      </c>
      <c r="K460" s="42">
        <v>230818.0</v>
      </c>
      <c r="L460" s="32">
        <f t="shared" si="1"/>
        <v>-17.41573034</v>
      </c>
      <c r="M460" s="32">
        <f t="shared" si="2"/>
        <v>-21.70439414</v>
      </c>
      <c r="N460" s="32">
        <f t="shared" si="3"/>
        <v>-23.53706112</v>
      </c>
    </row>
    <row r="461">
      <c r="A461" s="42" t="s">
        <v>159</v>
      </c>
      <c r="B461" s="42">
        <v>6.0</v>
      </c>
      <c r="C461" s="42">
        <v>8.0</v>
      </c>
      <c r="D461" s="54">
        <v>727.0</v>
      </c>
      <c r="E461" s="54">
        <v>1201053.0</v>
      </c>
      <c r="F461" s="54">
        <v>768.0</v>
      </c>
      <c r="G461" s="54">
        <v>1083111.0</v>
      </c>
      <c r="H461" s="55">
        <v>775.0</v>
      </c>
      <c r="I461" s="54">
        <v>1213000.0</v>
      </c>
      <c r="J461" s="42">
        <v>610.0</v>
      </c>
      <c r="K461" s="42">
        <v>224926.0</v>
      </c>
      <c r="L461" s="32">
        <f t="shared" si="1"/>
        <v>-16.09353508</v>
      </c>
      <c r="M461" s="32">
        <f t="shared" si="2"/>
        <v>-20.57291667</v>
      </c>
      <c r="N461" s="32">
        <f t="shared" si="3"/>
        <v>-21.29032258</v>
      </c>
    </row>
    <row r="462">
      <c r="A462" s="42" t="s">
        <v>159</v>
      </c>
      <c r="B462" s="42">
        <v>6.0</v>
      </c>
      <c r="C462" s="42">
        <v>9.0</v>
      </c>
      <c r="D462" s="54">
        <v>727.0</v>
      </c>
      <c r="E462" s="54">
        <v>1204819.0</v>
      </c>
      <c r="F462" s="54">
        <v>778.0</v>
      </c>
      <c r="G462" s="54">
        <v>1202685.0</v>
      </c>
      <c r="H462" s="55">
        <v>787.0</v>
      </c>
      <c r="I462" s="54">
        <v>1213000.0</v>
      </c>
      <c r="J462" s="42">
        <v>615.0</v>
      </c>
      <c r="K462" s="42">
        <v>226564.0</v>
      </c>
      <c r="L462" s="32">
        <f t="shared" si="1"/>
        <v>-15.40577717</v>
      </c>
      <c r="M462" s="32">
        <f t="shared" si="2"/>
        <v>-20.95115681</v>
      </c>
      <c r="N462" s="32">
        <f t="shared" si="3"/>
        <v>-21.85514612</v>
      </c>
    </row>
    <row r="463">
      <c r="A463" s="42" t="s">
        <v>159</v>
      </c>
      <c r="B463" s="42">
        <v>6.0</v>
      </c>
      <c r="C463" s="42">
        <v>10.0</v>
      </c>
      <c r="D463" s="54">
        <v>735.0</v>
      </c>
      <c r="E463" s="54">
        <v>1200637.0</v>
      </c>
      <c r="F463" s="54">
        <v>761.0</v>
      </c>
      <c r="G463" s="54">
        <v>1203004.0</v>
      </c>
      <c r="H463" s="55">
        <v>774.0</v>
      </c>
      <c r="I463" s="54">
        <v>1214000.0</v>
      </c>
      <c r="J463" s="42">
        <v>610.0</v>
      </c>
      <c r="K463" s="42">
        <v>230075.0</v>
      </c>
      <c r="L463" s="32">
        <f t="shared" si="1"/>
        <v>-17.00680272</v>
      </c>
      <c r="M463" s="32">
        <f t="shared" si="2"/>
        <v>-19.84231275</v>
      </c>
      <c r="N463" s="32">
        <f t="shared" si="3"/>
        <v>-21.18863049</v>
      </c>
    </row>
    <row r="464">
      <c r="A464" s="42" t="s">
        <v>159</v>
      </c>
      <c r="B464" s="42">
        <v>8.0</v>
      </c>
      <c r="C464" s="42">
        <v>1.0</v>
      </c>
      <c r="D464" s="54">
        <v>820.0</v>
      </c>
      <c r="E464" s="54">
        <v>1205830.0</v>
      </c>
      <c r="F464" s="54">
        <v>869.0</v>
      </c>
      <c r="G464" s="54">
        <v>1082575.0</v>
      </c>
      <c r="H464" s="55">
        <v>859.0</v>
      </c>
      <c r="I464" s="54">
        <v>1215000.0</v>
      </c>
      <c r="J464" s="42">
        <v>726.0</v>
      </c>
      <c r="K464" s="42">
        <v>269491.0</v>
      </c>
      <c r="L464" s="32">
        <f t="shared" si="1"/>
        <v>-11.46341463</v>
      </c>
      <c r="M464" s="32">
        <f t="shared" si="2"/>
        <v>-16.4556962</v>
      </c>
      <c r="N464" s="32">
        <f t="shared" si="3"/>
        <v>-15.48311991</v>
      </c>
    </row>
    <row r="465">
      <c r="A465" s="42" t="s">
        <v>159</v>
      </c>
      <c r="B465" s="42">
        <v>8.0</v>
      </c>
      <c r="C465" s="42">
        <v>2.0</v>
      </c>
      <c r="D465" s="54">
        <v>824.0</v>
      </c>
      <c r="E465" s="54">
        <v>1203238.0</v>
      </c>
      <c r="F465" s="54">
        <v>863.0</v>
      </c>
      <c r="G465" s="54">
        <v>1203226.0</v>
      </c>
      <c r="H465" s="55">
        <v>859.0</v>
      </c>
      <c r="I465" s="54">
        <v>1213000.0</v>
      </c>
      <c r="J465" s="42">
        <v>721.0</v>
      </c>
      <c r="K465" s="42">
        <v>270151.0</v>
      </c>
      <c r="L465" s="32">
        <f t="shared" si="1"/>
        <v>-12.5</v>
      </c>
      <c r="M465" s="32">
        <f t="shared" si="2"/>
        <v>-16.45422943</v>
      </c>
      <c r="N465" s="32">
        <f t="shared" si="3"/>
        <v>-16.06519208</v>
      </c>
    </row>
    <row r="466">
      <c r="A466" s="42" t="s">
        <v>159</v>
      </c>
      <c r="B466" s="42">
        <v>8.0</v>
      </c>
      <c r="C466" s="42">
        <v>3.0</v>
      </c>
      <c r="D466" s="54">
        <v>826.0</v>
      </c>
      <c r="E466" s="54">
        <v>1203045.0</v>
      </c>
      <c r="F466" s="54">
        <v>859.0</v>
      </c>
      <c r="G466" s="54">
        <v>1082577.0</v>
      </c>
      <c r="H466" s="55">
        <v>862.0</v>
      </c>
      <c r="I466" s="54">
        <v>1213000.0</v>
      </c>
      <c r="J466" s="42">
        <v>727.0</v>
      </c>
      <c r="K466" s="42">
        <v>269523.0</v>
      </c>
      <c r="L466" s="32">
        <f t="shared" si="1"/>
        <v>-11.98547215</v>
      </c>
      <c r="M466" s="32">
        <f t="shared" si="2"/>
        <v>-15.36670547</v>
      </c>
      <c r="N466" s="32">
        <f t="shared" si="3"/>
        <v>-15.6612529</v>
      </c>
    </row>
    <row r="467">
      <c r="A467" s="42" t="s">
        <v>159</v>
      </c>
      <c r="B467" s="42">
        <v>8.0</v>
      </c>
      <c r="C467" s="42">
        <v>4.0</v>
      </c>
      <c r="D467" s="54">
        <v>827.0</v>
      </c>
      <c r="E467" s="54">
        <v>1202324.0</v>
      </c>
      <c r="F467" s="54">
        <v>863.0</v>
      </c>
      <c r="G467" s="54">
        <v>1082848.0</v>
      </c>
      <c r="H467" s="55">
        <v>865.0</v>
      </c>
      <c r="I467" s="54">
        <v>1213000.0</v>
      </c>
      <c r="J467" s="42">
        <v>729.0</v>
      </c>
      <c r="K467" s="42">
        <v>265972.0</v>
      </c>
      <c r="L467" s="32">
        <f t="shared" si="1"/>
        <v>-11.85006046</v>
      </c>
      <c r="M467" s="32">
        <f t="shared" si="2"/>
        <v>-15.52723059</v>
      </c>
      <c r="N467" s="32">
        <f t="shared" si="3"/>
        <v>-15.72254335</v>
      </c>
    </row>
    <row r="468">
      <c r="A468" s="42" t="s">
        <v>159</v>
      </c>
      <c r="B468" s="42">
        <v>8.0</v>
      </c>
      <c r="C468" s="42">
        <v>5.0</v>
      </c>
      <c r="D468" s="54">
        <v>814.0</v>
      </c>
      <c r="E468" s="54">
        <v>1202135.0</v>
      </c>
      <c r="F468" s="54">
        <v>870.0</v>
      </c>
      <c r="G468" s="54">
        <v>1202751.0</v>
      </c>
      <c r="H468" s="55">
        <v>871.0</v>
      </c>
      <c r="I468" s="54">
        <v>1213000.0</v>
      </c>
      <c r="J468" s="42">
        <v>738.0</v>
      </c>
      <c r="K468" s="42">
        <v>263927.0</v>
      </c>
      <c r="L468" s="32">
        <f t="shared" si="1"/>
        <v>-9.336609337</v>
      </c>
      <c r="M468" s="32">
        <f t="shared" si="2"/>
        <v>-15.17241379</v>
      </c>
      <c r="N468" s="32">
        <f t="shared" si="3"/>
        <v>-15.26980482</v>
      </c>
    </row>
    <row r="469">
      <c r="A469" s="42" t="s">
        <v>159</v>
      </c>
      <c r="B469" s="42">
        <v>8.0</v>
      </c>
      <c r="C469" s="42">
        <v>6.0</v>
      </c>
      <c r="D469" s="54">
        <v>823.0</v>
      </c>
      <c r="E469" s="54">
        <v>1202094.0</v>
      </c>
      <c r="F469" s="54">
        <v>861.0</v>
      </c>
      <c r="G469" s="54">
        <v>1202645.0</v>
      </c>
      <c r="H469" s="55">
        <v>864.0</v>
      </c>
      <c r="I469" s="54">
        <v>1213000.0</v>
      </c>
      <c r="J469" s="42">
        <v>727.0</v>
      </c>
      <c r="K469" s="42">
        <v>277510.0</v>
      </c>
      <c r="L469" s="32">
        <f t="shared" si="1"/>
        <v>-11.66464156</v>
      </c>
      <c r="M469" s="32">
        <f t="shared" si="2"/>
        <v>-15.56329849</v>
      </c>
      <c r="N469" s="32">
        <f t="shared" si="3"/>
        <v>-15.85648148</v>
      </c>
    </row>
    <row r="470">
      <c r="A470" s="42" t="s">
        <v>159</v>
      </c>
      <c r="B470" s="42">
        <v>8.0</v>
      </c>
      <c r="C470" s="42">
        <v>7.0</v>
      </c>
      <c r="D470" s="54">
        <v>830.0</v>
      </c>
      <c r="E470" s="54">
        <v>1204045.0</v>
      </c>
      <c r="F470" s="54">
        <v>857.0</v>
      </c>
      <c r="G470" s="54">
        <v>1202985.0</v>
      </c>
      <c r="H470" s="55">
        <v>860.0</v>
      </c>
      <c r="I470" s="54">
        <v>1213000.0</v>
      </c>
      <c r="J470" s="42">
        <v>726.0</v>
      </c>
      <c r="K470" s="42">
        <v>264647.0</v>
      </c>
      <c r="L470" s="32">
        <f t="shared" si="1"/>
        <v>-12.53012048</v>
      </c>
      <c r="M470" s="32">
        <f t="shared" si="2"/>
        <v>-15.28588098</v>
      </c>
      <c r="N470" s="32">
        <f t="shared" si="3"/>
        <v>-15.58139535</v>
      </c>
    </row>
    <row r="471">
      <c r="A471" s="42" t="s">
        <v>159</v>
      </c>
      <c r="B471" s="42">
        <v>8.0</v>
      </c>
      <c r="C471" s="42">
        <v>8.0</v>
      </c>
      <c r="D471" s="54">
        <v>815.0</v>
      </c>
      <c r="E471" s="54">
        <v>1200640.0</v>
      </c>
      <c r="F471" s="54">
        <v>865.0</v>
      </c>
      <c r="G471" s="54">
        <v>1082537.0</v>
      </c>
      <c r="H471" s="55">
        <v>863.0</v>
      </c>
      <c r="I471" s="54">
        <v>1213000.0</v>
      </c>
      <c r="J471" s="42">
        <v>724.0</v>
      </c>
      <c r="K471" s="42">
        <v>259998.0</v>
      </c>
      <c r="L471" s="32">
        <f t="shared" si="1"/>
        <v>-11.16564417</v>
      </c>
      <c r="M471" s="32">
        <f t="shared" si="2"/>
        <v>-16.30057803</v>
      </c>
      <c r="N471" s="32">
        <f t="shared" si="3"/>
        <v>-16.10660487</v>
      </c>
    </row>
    <row r="472">
      <c r="A472" s="42" t="s">
        <v>159</v>
      </c>
      <c r="B472" s="42">
        <v>8.0</v>
      </c>
      <c r="C472" s="42">
        <v>9.0</v>
      </c>
      <c r="D472" s="54">
        <v>822.0</v>
      </c>
      <c r="E472" s="54">
        <v>1205927.0</v>
      </c>
      <c r="F472" s="54">
        <v>866.0</v>
      </c>
      <c r="G472" s="54">
        <v>1202996.0</v>
      </c>
      <c r="H472" s="55">
        <v>862.0</v>
      </c>
      <c r="I472" s="54">
        <v>1212000.0</v>
      </c>
      <c r="J472" s="42">
        <v>725.0</v>
      </c>
      <c r="K472" s="42">
        <v>267357.0</v>
      </c>
      <c r="L472" s="32">
        <f t="shared" si="1"/>
        <v>-11.80048662</v>
      </c>
      <c r="M472" s="32">
        <f t="shared" si="2"/>
        <v>-16.2817552</v>
      </c>
      <c r="N472" s="32">
        <f t="shared" si="3"/>
        <v>-15.89327146</v>
      </c>
    </row>
    <row r="473">
      <c r="A473" s="42" t="s">
        <v>159</v>
      </c>
      <c r="B473" s="42">
        <v>8.0</v>
      </c>
      <c r="C473" s="42">
        <v>10.0</v>
      </c>
      <c r="D473" s="54">
        <v>813.0</v>
      </c>
      <c r="E473" s="54">
        <v>1200142.0</v>
      </c>
      <c r="F473" s="54">
        <v>860.0</v>
      </c>
      <c r="G473" s="54">
        <v>1082840.0</v>
      </c>
      <c r="H473" s="55">
        <v>866.0</v>
      </c>
      <c r="I473" s="54">
        <v>1213000.0</v>
      </c>
      <c r="J473" s="42">
        <v>723.0</v>
      </c>
      <c r="K473" s="42">
        <v>263592.0</v>
      </c>
      <c r="L473" s="32">
        <f t="shared" si="1"/>
        <v>-11.0701107</v>
      </c>
      <c r="M473" s="32">
        <f t="shared" si="2"/>
        <v>-15.93023256</v>
      </c>
      <c r="N473" s="32">
        <f t="shared" si="3"/>
        <v>-16.51270208</v>
      </c>
    </row>
    <row r="474">
      <c r="A474" s="42" t="s">
        <v>159</v>
      </c>
      <c r="B474" s="42">
        <v>10.0</v>
      </c>
      <c r="C474" s="42">
        <v>1.0</v>
      </c>
      <c r="D474" s="54">
        <v>874.0</v>
      </c>
      <c r="E474" s="54">
        <v>1201894.0</v>
      </c>
      <c r="F474" s="54">
        <v>919.0</v>
      </c>
      <c r="G474" s="54">
        <v>1203241.0</v>
      </c>
      <c r="H474" s="55">
        <v>906.0</v>
      </c>
      <c r="I474" s="54">
        <v>1213000.0</v>
      </c>
      <c r="J474" s="42">
        <v>806.0</v>
      </c>
      <c r="K474" s="42">
        <v>307899.0</v>
      </c>
      <c r="L474" s="32">
        <f t="shared" si="1"/>
        <v>-7.780320366</v>
      </c>
      <c r="M474" s="32">
        <f t="shared" si="2"/>
        <v>-12.29597388</v>
      </c>
      <c r="N474" s="32">
        <f t="shared" si="3"/>
        <v>-11.03752759</v>
      </c>
    </row>
    <row r="475">
      <c r="A475" s="42" t="s">
        <v>159</v>
      </c>
      <c r="B475" s="42">
        <v>10.0</v>
      </c>
      <c r="C475" s="42">
        <v>2.0</v>
      </c>
      <c r="D475" s="54">
        <v>870.0</v>
      </c>
      <c r="E475" s="54">
        <v>1204860.0</v>
      </c>
      <c r="F475" s="54">
        <v>920.0</v>
      </c>
      <c r="G475" s="54">
        <v>1203103.0</v>
      </c>
      <c r="H475" s="55">
        <v>905.0</v>
      </c>
      <c r="I475" s="54">
        <v>1213000.0</v>
      </c>
      <c r="J475" s="42">
        <v>806.0</v>
      </c>
      <c r="K475" s="42">
        <v>308411.0</v>
      </c>
      <c r="L475" s="32">
        <f t="shared" si="1"/>
        <v>-7.356321839</v>
      </c>
      <c r="M475" s="32">
        <f t="shared" si="2"/>
        <v>-12.39130435</v>
      </c>
      <c r="N475" s="32">
        <f t="shared" si="3"/>
        <v>-10.93922652</v>
      </c>
    </row>
    <row r="476">
      <c r="A476" s="42" t="s">
        <v>159</v>
      </c>
      <c r="B476" s="42">
        <v>10.0</v>
      </c>
      <c r="C476" s="42">
        <v>3.0</v>
      </c>
      <c r="D476" s="54">
        <v>874.0</v>
      </c>
      <c r="E476" s="54">
        <v>1202171.0</v>
      </c>
      <c r="F476" s="54">
        <v>917.0</v>
      </c>
      <c r="G476" s="54">
        <v>1202822.0</v>
      </c>
      <c r="H476" s="55">
        <v>904.0</v>
      </c>
      <c r="I476" s="54">
        <v>1215000.0</v>
      </c>
      <c r="J476" s="42">
        <v>799.0</v>
      </c>
      <c r="K476" s="42">
        <v>295431.0</v>
      </c>
      <c r="L476" s="32">
        <f t="shared" si="1"/>
        <v>-8.581235698</v>
      </c>
      <c r="M476" s="32">
        <f t="shared" si="2"/>
        <v>-12.86804798</v>
      </c>
      <c r="N476" s="32">
        <f t="shared" si="3"/>
        <v>-11.61504425</v>
      </c>
    </row>
    <row r="477">
      <c r="A477" s="42" t="s">
        <v>159</v>
      </c>
      <c r="B477" s="42">
        <v>10.0</v>
      </c>
      <c r="C477" s="42">
        <v>4.0</v>
      </c>
      <c r="D477" s="54">
        <v>872.0</v>
      </c>
      <c r="E477" s="54">
        <v>1205827.0</v>
      </c>
      <c r="F477" s="54">
        <v>921.0</v>
      </c>
      <c r="G477" s="54">
        <v>1203523.0</v>
      </c>
      <c r="H477" s="55">
        <v>907.0</v>
      </c>
      <c r="I477" s="54">
        <v>1213000.0</v>
      </c>
      <c r="J477" s="42">
        <v>799.0</v>
      </c>
      <c r="K477" s="42">
        <v>316002.0</v>
      </c>
      <c r="L477" s="32">
        <f t="shared" si="1"/>
        <v>-8.371559633</v>
      </c>
      <c r="M477" s="32">
        <f t="shared" si="2"/>
        <v>-13.24647123</v>
      </c>
      <c r="N477" s="32">
        <f t="shared" si="3"/>
        <v>-11.90738699</v>
      </c>
    </row>
    <row r="478">
      <c r="A478" s="42" t="s">
        <v>159</v>
      </c>
      <c r="B478" s="42">
        <v>10.0</v>
      </c>
      <c r="C478" s="42">
        <v>5.0</v>
      </c>
      <c r="D478" s="54">
        <v>878.0</v>
      </c>
      <c r="E478" s="54">
        <v>1203263.0</v>
      </c>
      <c r="F478" s="54">
        <v>912.0</v>
      </c>
      <c r="G478" s="54">
        <v>1082930.0</v>
      </c>
      <c r="H478" s="55">
        <v>911.0</v>
      </c>
      <c r="I478" s="54">
        <v>1213000.0</v>
      </c>
      <c r="J478" s="42">
        <v>806.0</v>
      </c>
      <c r="K478" s="42">
        <v>306544.0</v>
      </c>
      <c r="L478" s="32">
        <f t="shared" si="1"/>
        <v>-8.200455581</v>
      </c>
      <c r="M478" s="32">
        <f t="shared" si="2"/>
        <v>-11.62280702</v>
      </c>
      <c r="N478" s="32">
        <f t="shared" si="3"/>
        <v>-11.52579583</v>
      </c>
    </row>
    <row r="479">
      <c r="A479" s="42" t="s">
        <v>159</v>
      </c>
      <c r="B479" s="42">
        <v>10.0</v>
      </c>
      <c r="C479" s="42">
        <v>6.0</v>
      </c>
      <c r="D479" s="54">
        <v>870.0</v>
      </c>
      <c r="E479" s="54">
        <v>1205161.0</v>
      </c>
      <c r="F479" s="54">
        <v>920.0</v>
      </c>
      <c r="G479" s="54">
        <v>1083065.0</v>
      </c>
      <c r="H479" s="55">
        <v>910.0</v>
      </c>
      <c r="I479" s="54">
        <v>1213000.0</v>
      </c>
      <c r="J479" s="42">
        <v>809.0</v>
      </c>
      <c r="K479" s="42">
        <v>308835.0</v>
      </c>
      <c r="L479" s="32">
        <f t="shared" si="1"/>
        <v>-7.011494253</v>
      </c>
      <c r="M479" s="32">
        <f t="shared" si="2"/>
        <v>-12.06521739</v>
      </c>
      <c r="N479" s="32">
        <f t="shared" si="3"/>
        <v>-11.0989011</v>
      </c>
    </row>
    <row r="480">
      <c r="A480" s="42" t="s">
        <v>159</v>
      </c>
      <c r="B480" s="42">
        <v>10.0</v>
      </c>
      <c r="C480" s="42">
        <v>7.0</v>
      </c>
      <c r="D480" s="54">
        <v>883.0</v>
      </c>
      <c r="E480" s="54">
        <v>1200783.0</v>
      </c>
      <c r="F480" s="54">
        <v>916.0</v>
      </c>
      <c r="G480" s="54">
        <v>1202766.0</v>
      </c>
      <c r="H480" s="55">
        <v>909.0</v>
      </c>
      <c r="I480" s="54">
        <v>1213000.0</v>
      </c>
      <c r="J480" s="42">
        <v>812.0</v>
      </c>
      <c r="K480" s="42">
        <v>300927.0</v>
      </c>
      <c r="L480" s="32">
        <f t="shared" si="1"/>
        <v>-8.040770102</v>
      </c>
      <c r="M480" s="32">
        <f t="shared" si="2"/>
        <v>-11.35371179</v>
      </c>
      <c r="N480" s="32">
        <f t="shared" si="3"/>
        <v>-10.67106711</v>
      </c>
    </row>
    <row r="481">
      <c r="A481" s="42" t="s">
        <v>159</v>
      </c>
      <c r="B481" s="42">
        <v>10.0</v>
      </c>
      <c r="C481" s="42">
        <v>8.0</v>
      </c>
      <c r="D481" s="54">
        <v>885.0</v>
      </c>
      <c r="E481" s="54">
        <v>1200353.0</v>
      </c>
      <c r="F481" s="54">
        <v>927.0</v>
      </c>
      <c r="G481" s="54">
        <v>1203185.0</v>
      </c>
      <c r="H481" s="55">
        <v>913.0</v>
      </c>
      <c r="I481" s="54">
        <v>1213000.0</v>
      </c>
      <c r="J481" s="42">
        <v>818.0</v>
      </c>
      <c r="K481" s="42">
        <v>313823.0</v>
      </c>
      <c r="L481" s="32">
        <f t="shared" si="1"/>
        <v>-7.570621469</v>
      </c>
      <c r="M481" s="32">
        <f t="shared" si="2"/>
        <v>-11.7583603</v>
      </c>
      <c r="N481" s="32">
        <f t="shared" si="3"/>
        <v>-10.40525739</v>
      </c>
    </row>
    <row r="482">
      <c r="A482" s="42" t="s">
        <v>159</v>
      </c>
      <c r="B482" s="42">
        <v>10.0</v>
      </c>
      <c r="C482" s="42">
        <v>9.0</v>
      </c>
      <c r="D482" s="54">
        <v>869.0</v>
      </c>
      <c r="E482" s="54">
        <v>1202140.0</v>
      </c>
      <c r="F482" s="54">
        <v>910.0</v>
      </c>
      <c r="G482" s="54">
        <v>1203772.0</v>
      </c>
      <c r="H482" s="55">
        <v>906.0</v>
      </c>
      <c r="I482" s="54">
        <v>1213000.0</v>
      </c>
      <c r="J482" s="42">
        <v>804.0</v>
      </c>
      <c r="K482" s="42">
        <v>312781.0</v>
      </c>
      <c r="L482" s="32">
        <f t="shared" si="1"/>
        <v>-7.47986191</v>
      </c>
      <c r="M482" s="32">
        <f t="shared" si="2"/>
        <v>-11.64835165</v>
      </c>
      <c r="N482" s="32">
        <f t="shared" si="3"/>
        <v>-11.25827815</v>
      </c>
    </row>
    <row r="483">
      <c r="A483" s="42" t="s">
        <v>159</v>
      </c>
      <c r="B483" s="42">
        <v>10.0</v>
      </c>
      <c r="C483" s="42">
        <v>10.0</v>
      </c>
      <c r="D483" s="54">
        <v>872.0</v>
      </c>
      <c r="E483" s="54">
        <v>1204907.0</v>
      </c>
      <c r="F483" s="54">
        <v>924.0</v>
      </c>
      <c r="G483" s="54">
        <v>1203040.0</v>
      </c>
      <c r="H483" s="55">
        <v>910.0</v>
      </c>
      <c r="I483" s="54">
        <v>1215000.0</v>
      </c>
      <c r="J483" s="42">
        <v>811.0</v>
      </c>
      <c r="K483" s="42">
        <v>301493.0</v>
      </c>
      <c r="L483" s="32">
        <f t="shared" si="1"/>
        <v>-6.995412844</v>
      </c>
      <c r="M483" s="32">
        <f t="shared" si="2"/>
        <v>-12.22943723</v>
      </c>
      <c r="N483" s="32">
        <f t="shared" si="3"/>
        <v>-10.87912088</v>
      </c>
    </row>
    <row r="484">
      <c r="A484" s="42" t="s">
        <v>159</v>
      </c>
      <c r="B484" s="42">
        <v>14.0</v>
      </c>
      <c r="C484" s="42">
        <v>1.0</v>
      </c>
      <c r="D484" s="54">
        <v>933.0</v>
      </c>
      <c r="E484" s="54">
        <v>1200590.0</v>
      </c>
      <c r="F484" s="54">
        <v>964.0</v>
      </c>
      <c r="G484" s="54">
        <v>1203551.0</v>
      </c>
      <c r="H484" s="55">
        <v>950.0</v>
      </c>
      <c r="I484" s="54">
        <v>1213000.0</v>
      </c>
      <c r="J484" s="42">
        <v>889.0</v>
      </c>
      <c r="K484" s="42">
        <v>383235.0</v>
      </c>
      <c r="L484" s="32">
        <f t="shared" si="1"/>
        <v>-4.715969989</v>
      </c>
      <c r="M484" s="32">
        <f t="shared" si="2"/>
        <v>-7.780082988</v>
      </c>
      <c r="N484" s="32">
        <f t="shared" si="3"/>
        <v>-6.421052632</v>
      </c>
    </row>
    <row r="485">
      <c r="A485" s="42" t="s">
        <v>159</v>
      </c>
      <c r="B485" s="42">
        <v>14.0</v>
      </c>
      <c r="C485" s="42">
        <v>2.0</v>
      </c>
      <c r="D485" s="54">
        <v>929.0</v>
      </c>
      <c r="E485" s="54">
        <v>1200949.0</v>
      </c>
      <c r="F485" s="54">
        <v>966.0</v>
      </c>
      <c r="G485" s="54">
        <v>1201999.0</v>
      </c>
      <c r="H485" s="55">
        <v>951.0</v>
      </c>
      <c r="I485" s="54">
        <v>1214000.0</v>
      </c>
      <c r="J485" s="42">
        <v>892.0</v>
      </c>
      <c r="K485" s="42">
        <v>383847.0</v>
      </c>
      <c r="L485" s="32">
        <f t="shared" si="1"/>
        <v>-3.98277718</v>
      </c>
      <c r="M485" s="32">
        <f t="shared" si="2"/>
        <v>-7.660455487</v>
      </c>
      <c r="N485" s="32">
        <f t="shared" si="3"/>
        <v>-6.203995794</v>
      </c>
    </row>
    <row r="486">
      <c r="A486" s="42" t="s">
        <v>159</v>
      </c>
      <c r="B486" s="42">
        <v>14.0</v>
      </c>
      <c r="C486" s="42">
        <v>3.0</v>
      </c>
      <c r="D486" s="54">
        <v>931.0</v>
      </c>
      <c r="E486" s="54">
        <v>1203788.0</v>
      </c>
      <c r="F486" s="54">
        <v>964.0</v>
      </c>
      <c r="G486" s="54">
        <v>1202724.0</v>
      </c>
      <c r="H486" s="55">
        <v>949.0</v>
      </c>
      <c r="I486" s="54">
        <v>1213000.0</v>
      </c>
      <c r="J486" s="42">
        <v>890.0</v>
      </c>
      <c r="K486" s="42">
        <v>385289.0</v>
      </c>
      <c r="L486" s="32">
        <f t="shared" si="1"/>
        <v>-4.40386681</v>
      </c>
      <c r="M486" s="32">
        <f t="shared" si="2"/>
        <v>-7.676348548</v>
      </c>
      <c r="N486" s="32">
        <f t="shared" si="3"/>
        <v>-6.217070601</v>
      </c>
    </row>
    <row r="487">
      <c r="A487" s="42" t="s">
        <v>159</v>
      </c>
      <c r="B487" s="42">
        <v>14.0</v>
      </c>
      <c r="C487" s="42">
        <v>4.0</v>
      </c>
      <c r="D487" s="54">
        <v>933.0</v>
      </c>
      <c r="E487" s="54">
        <v>1200400.0</v>
      </c>
      <c r="F487" s="54">
        <v>968.0</v>
      </c>
      <c r="G487" s="54">
        <v>1203242.0</v>
      </c>
      <c r="H487" s="55">
        <v>949.0</v>
      </c>
      <c r="I487" s="54">
        <v>1213000.0</v>
      </c>
      <c r="J487" s="42">
        <v>889.0</v>
      </c>
      <c r="K487" s="42">
        <v>391922.0</v>
      </c>
      <c r="L487" s="32">
        <f t="shared" si="1"/>
        <v>-4.715969989</v>
      </c>
      <c r="M487" s="32">
        <f t="shared" si="2"/>
        <v>-8.161157025</v>
      </c>
      <c r="N487" s="32">
        <f t="shared" si="3"/>
        <v>-6.322444679</v>
      </c>
    </row>
    <row r="488">
      <c r="A488" s="42" t="s">
        <v>159</v>
      </c>
      <c r="B488" s="42">
        <v>14.0</v>
      </c>
      <c r="C488" s="42">
        <v>5.0</v>
      </c>
      <c r="D488" s="54">
        <v>928.0</v>
      </c>
      <c r="E488" s="54">
        <v>1205059.0</v>
      </c>
      <c r="F488" s="54">
        <v>966.0</v>
      </c>
      <c r="G488" s="54">
        <v>1203358.0</v>
      </c>
      <c r="H488" s="55">
        <v>948.0</v>
      </c>
      <c r="I488" s="54">
        <v>1213000.0</v>
      </c>
      <c r="J488" s="42">
        <v>886.0</v>
      </c>
      <c r="K488" s="42">
        <v>380766.0</v>
      </c>
      <c r="L488" s="32">
        <f t="shared" si="1"/>
        <v>-4.525862069</v>
      </c>
      <c r="M488" s="32">
        <f t="shared" si="2"/>
        <v>-8.281573499</v>
      </c>
      <c r="N488" s="32">
        <f t="shared" si="3"/>
        <v>-6.540084388</v>
      </c>
    </row>
    <row r="489">
      <c r="A489" s="42" t="s">
        <v>159</v>
      </c>
      <c r="B489" s="42">
        <v>14.0</v>
      </c>
      <c r="C489" s="42">
        <v>6.0</v>
      </c>
      <c r="D489" s="54">
        <v>931.0</v>
      </c>
      <c r="E489" s="54">
        <v>1205862.0</v>
      </c>
      <c r="F489" s="54">
        <v>967.0</v>
      </c>
      <c r="G489" s="54">
        <v>1082729.0</v>
      </c>
      <c r="H489" s="55">
        <v>947.0</v>
      </c>
      <c r="I489" s="54">
        <v>1213000.0</v>
      </c>
      <c r="J489" s="42">
        <v>889.0</v>
      </c>
      <c r="K489" s="42">
        <v>383168.0</v>
      </c>
      <c r="L489" s="32">
        <f t="shared" si="1"/>
        <v>-4.511278195</v>
      </c>
      <c r="M489" s="32">
        <f t="shared" si="2"/>
        <v>-8.066184074</v>
      </c>
      <c r="N489" s="32">
        <f t="shared" si="3"/>
        <v>-6.124604013</v>
      </c>
    </row>
    <row r="490">
      <c r="A490" s="42" t="s">
        <v>159</v>
      </c>
      <c r="B490" s="42">
        <v>14.0</v>
      </c>
      <c r="C490" s="42">
        <v>7.0</v>
      </c>
      <c r="D490" s="54">
        <v>930.0</v>
      </c>
      <c r="E490" s="54">
        <v>1200879.0</v>
      </c>
      <c r="F490" s="54">
        <v>962.0</v>
      </c>
      <c r="G490" s="54">
        <v>1202961.0</v>
      </c>
      <c r="H490" s="55">
        <v>950.0</v>
      </c>
      <c r="I490" s="54">
        <v>1213000.0</v>
      </c>
      <c r="J490" s="42">
        <v>890.0</v>
      </c>
      <c r="K490" s="42">
        <v>384957.0</v>
      </c>
      <c r="L490" s="32">
        <f t="shared" si="1"/>
        <v>-4.301075269</v>
      </c>
      <c r="M490" s="32">
        <f t="shared" si="2"/>
        <v>-7.484407484</v>
      </c>
      <c r="N490" s="32">
        <f t="shared" si="3"/>
        <v>-6.315789474</v>
      </c>
    </row>
    <row r="491">
      <c r="A491" s="42" t="s">
        <v>159</v>
      </c>
      <c r="B491" s="42">
        <v>14.0</v>
      </c>
      <c r="C491" s="42">
        <v>8.0</v>
      </c>
      <c r="D491" s="54">
        <v>932.0</v>
      </c>
      <c r="E491" s="54">
        <v>1204860.0</v>
      </c>
      <c r="F491" s="54">
        <v>967.0</v>
      </c>
      <c r="G491" s="54">
        <v>1202189.0</v>
      </c>
      <c r="H491" s="55">
        <v>950.0</v>
      </c>
      <c r="I491" s="54">
        <v>1213000.0</v>
      </c>
      <c r="J491" s="42">
        <v>890.0</v>
      </c>
      <c r="K491" s="42">
        <v>379952.0</v>
      </c>
      <c r="L491" s="32">
        <f t="shared" si="1"/>
        <v>-4.506437768</v>
      </c>
      <c r="M491" s="32">
        <f t="shared" si="2"/>
        <v>-7.962771458</v>
      </c>
      <c r="N491" s="32">
        <f t="shared" si="3"/>
        <v>-6.315789474</v>
      </c>
    </row>
    <row r="492">
      <c r="A492" s="42" t="s">
        <v>159</v>
      </c>
      <c r="B492" s="42">
        <v>14.0</v>
      </c>
      <c r="C492" s="42">
        <v>9.0</v>
      </c>
      <c r="D492" s="54">
        <v>928.0</v>
      </c>
      <c r="E492" s="54">
        <v>1201161.0</v>
      </c>
      <c r="F492" s="54">
        <v>966.0</v>
      </c>
      <c r="G492" s="54">
        <v>1203027.0</v>
      </c>
      <c r="H492" s="55">
        <v>951.0</v>
      </c>
      <c r="I492" s="54">
        <v>1213000.0</v>
      </c>
      <c r="J492" s="42">
        <v>891.0</v>
      </c>
      <c r="K492" s="42">
        <v>400460.0</v>
      </c>
      <c r="L492" s="32">
        <f t="shared" si="1"/>
        <v>-3.987068966</v>
      </c>
      <c r="M492" s="32">
        <f t="shared" si="2"/>
        <v>-7.763975155</v>
      </c>
      <c r="N492" s="32">
        <f t="shared" si="3"/>
        <v>-6.309148265</v>
      </c>
    </row>
    <row r="493">
      <c r="A493" s="42" t="s">
        <v>159</v>
      </c>
      <c r="B493" s="42">
        <v>14.0</v>
      </c>
      <c r="C493" s="42">
        <v>10.0</v>
      </c>
      <c r="D493" s="54">
        <v>933.0</v>
      </c>
      <c r="E493" s="54">
        <v>1205558.0</v>
      </c>
      <c r="F493" s="54">
        <v>968.0</v>
      </c>
      <c r="G493" s="54">
        <v>1203303.0</v>
      </c>
      <c r="H493" s="55">
        <v>950.0</v>
      </c>
      <c r="I493" s="54">
        <v>1213000.0</v>
      </c>
      <c r="J493" s="42">
        <v>893.0</v>
      </c>
      <c r="K493" s="42">
        <v>384737.0</v>
      </c>
      <c r="L493" s="32">
        <f t="shared" si="1"/>
        <v>-4.287245445</v>
      </c>
      <c r="M493" s="32">
        <f t="shared" si="2"/>
        <v>-7.747933884</v>
      </c>
      <c r="N493" s="32">
        <f t="shared" si="3"/>
        <v>-6</v>
      </c>
    </row>
    <row r="494">
      <c r="A494" s="42" t="s">
        <v>159</v>
      </c>
      <c r="B494" s="42">
        <v>18.0</v>
      </c>
      <c r="C494" s="42">
        <v>1.0</v>
      </c>
      <c r="D494" s="54">
        <v>951.0</v>
      </c>
      <c r="E494" s="54">
        <v>1201308.0</v>
      </c>
      <c r="F494" s="54">
        <v>982.0</v>
      </c>
      <c r="G494" s="54">
        <v>1203417.0</v>
      </c>
      <c r="H494" s="55">
        <v>965.0</v>
      </c>
      <c r="I494" s="54">
        <v>1213000.0</v>
      </c>
      <c r="J494" s="42">
        <v>929.0</v>
      </c>
      <c r="K494" s="42">
        <v>452229.0</v>
      </c>
      <c r="L494" s="32">
        <f t="shared" si="1"/>
        <v>-2.313354364</v>
      </c>
      <c r="M494" s="32">
        <f t="shared" si="2"/>
        <v>-5.397148676</v>
      </c>
      <c r="N494" s="32">
        <f t="shared" si="3"/>
        <v>-3.730569948</v>
      </c>
    </row>
    <row r="495">
      <c r="A495" s="42" t="s">
        <v>159</v>
      </c>
      <c r="B495" s="42">
        <v>18.0</v>
      </c>
      <c r="C495" s="42">
        <v>2.0</v>
      </c>
      <c r="D495" s="54">
        <v>955.0</v>
      </c>
      <c r="E495" s="54">
        <v>1203806.0</v>
      </c>
      <c r="F495" s="54">
        <v>981.0</v>
      </c>
      <c r="G495" s="54">
        <v>1083140.0</v>
      </c>
      <c r="H495" s="55">
        <v>966.0</v>
      </c>
      <c r="I495" s="54">
        <v>1213000.0</v>
      </c>
      <c r="J495" s="42">
        <v>929.0</v>
      </c>
      <c r="K495" s="42">
        <v>447788.0</v>
      </c>
      <c r="L495" s="32">
        <f t="shared" si="1"/>
        <v>-2.722513089</v>
      </c>
      <c r="M495" s="32">
        <f t="shared" si="2"/>
        <v>-5.300713558</v>
      </c>
      <c r="N495" s="32">
        <f t="shared" si="3"/>
        <v>-3.830227743</v>
      </c>
    </row>
    <row r="496">
      <c r="A496" s="42" t="s">
        <v>159</v>
      </c>
      <c r="B496" s="42">
        <v>18.0</v>
      </c>
      <c r="C496" s="42">
        <v>3.0</v>
      </c>
      <c r="D496" s="54">
        <v>953.0</v>
      </c>
      <c r="E496" s="54">
        <v>1203611.0</v>
      </c>
      <c r="F496" s="54">
        <v>979.0</v>
      </c>
      <c r="G496" s="54">
        <v>1202426.0</v>
      </c>
      <c r="H496" s="55">
        <v>967.0</v>
      </c>
      <c r="I496" s="54">
        <v>1213000.0</v>
      </c>
      <c r="J496" s="42">
        <v>931.0</v>
      </c>
      <c r="K496" s="42">
        <v>449637.0</v>
      </c>
      <c r="L496" s="32">
        <f t="shared" si="1"/>
        <v>-2.308499475</v>
      </c>
      <c r="M496" s="32">
        <f t="shared" si="2"/>
        <v>-4.902962206</v>
      </c>
      <c r="N496" s="32">
        <f t="shared" si="3"/>
        <v>-3.722854188</v>
      </c>
    </row>
    <row r="497">
      <c r="A497" s="42" t="s">
        <v>159</v>
      </c>
      <c r="B497" s="42">
        <v>18.0</v>
      </c>
      <c r="C497" s="42">
        <v>4.0</v>
      </c>
      <c r="D497" s="54">
        <v>953.0</v>
      </c>
      <c r="E497" s="54">
        <v>1202710.0</v>
      </c>
      <c r="F497" s="54">
        <v>983.0</v>
      </c>
      <c r="G497" s="54">
        <v>1203518.0</v>
      </c>
      <c r="H497" s="55">
        <v>966.0</v>
      </c>
      <c r="I497" s="54">
        <v>1214000.0</v>
      </c>
      <c r="J497" s="42">
        <v>930.0</v>
      </c>
      <c r="K497" s="42">
        <v>458950.0</v>
      </c>
      <c r="L497" s="32">
        <f t="shared" si="1"/>
        <v>-2.41343127</v>
      </c>
      <c r="M497" s="32">
        <f t="shared" si="2"/>
        <v>-5.391658189</v>
      </c>
      <c r="N497" s="32">
        <f t="shared" si="3"/>
        <v>-3.726708075</v>
      </c>
    </row>
    <row r="498">
      <c r="A498" s="42" t="s">
        <v>159</v>
      </c>
      <c r="B498" s="42">
        <v>18.0</v>
      </c>
      <c r="C498" s="42">
        <v>5.0</v>
      </c>
      <c r="D498" s="54">
        <v>950.0</v>
      </c>
      <c r="E498" s="54">
        <v>1204052.0</v>
      </c>
      <c r="F498" s="54">
        <v>982.0</v>
      </c>
      <c r="G498" s="54">
        <v>1203283.0</v>
      </c>
      <c r="H498" s="55">
        <v>968.0</v>
      </c>
      <c r="I498" s="54">
        <v>1213000.0</v>
      </c>
      <c r="J498" s="42">
        <v>932.0</v>
      </c>
      <c r="K498" s="42">
        <v>451282.0</v>
      </c>
      <c r="L498" s="32">
        <f t="shared" si="1"/>
        <v>-1.894736842</v>
      </c>
      <c r="M498" s="32">
        <f t="shared" si="2"/>
        <v>-5.091649695</v>
      </c>
      <c r="N498" s="32">
        <f t="shared" si="3"/>
        <v>-3.719008264</v>
      </c>
    </row>
    <row r="499">
      <c r="A499" s="42" t="s">
        <v>159</v>
      </c>
      <c r="B499" s="42">
        <v>18.0</v>
      </c>
      <c r="C499" s="42">
        <v>6.0</v>
      </c>
      <c r="D499" s="54">
        <v>957.0</v>
      </c>
      <c r="E499" s="54">
        <v>1204288.0</v>
      </c>
      <c r="F499" s="54">
        <v>981.0</v>
      </c>
      <c r="G499" s="54">
        <v>1203114.0</v>
      </c>
      <c r="H499" s="55">
        <v>968.0</v>
      </c>
      <c r="I499" s="54">
        <v>1213000.0</v>
      </c>
      <c r="J499" s="42">
        <v>931.0</v>
      </c>
      <c r="K499" s="42">
        <v>461108.0</v>
      </c>
      <c r="L499" s="32">
        <f t="shared" si="1"/>
        <v>-2.716823406</v>
      </c>
      <c r="M499" s="32">
        <f t="shared" si="2"/>
        <v>-5.096839959</v>
      </c>
      <c r="N499" s="32">
        <f t="shared" si="3"/>
        <v>-3.82231405</v>
      </c>
    </row>
    <row r="500">
      <c r="A500" s="42" t="s">
        <v>159</v>
      </c>
      <c r="B500" s="42">
        <v>18.0</v>
      </c>
      <c r="C500" s="42">
        <v>7.0</v>
      </c>
      <c r="D500" s="54">
        <v>951.0</v>
      </c>
      <c r="E500" s="54">
        <v>1205329.0</v>
      </c>
      <c r="F500" s="54">
        <v>982.0</v>
      </c>
      <c r="G500" s="54">
        <v>1202890.0</v>
      </c>
      <c r="H500" s="55">
        <v>967.0</v>
      </c>
      <c r="I500" s="54">
        <v>1213000.0</v>
      </c>
      <c r="J500" s="42">
        <v>929.0</v>
      </c>
      <c r="K500" s="42">
        <v>464941.0</v>
      </c>
      <c r="L500" s="32">
        <f t="shared" si="1"/>
        <v>-2.313354364</v>
      </c>
      <c r="M500" s="32">
        <f t="shared" si="2"/>
        <v>-5.397148676</v>
      </c>
      <c r="N500" s="32">
        <f t="shared" si="3"/>
        <v>-3.929679421</v>
      </c>
    </row>
    <row r="501">
      <c r="A501" s="42" t="s">
        <v>159</v>
      </c>
      <c r="B501" s="42">
        <v>18.0</v>
      </c>
      <c r="C501" s="42">
        <v>8.0</v>
      </c>
      <c r="D501" s="54">
        <v>961.0</v>
      </c>
      <c r="E501" s="54">
        <v>1201375.0</v>
      </c>
      <c r="F501" s="54">
        <v>982.0</v>
      </c>
      <c r="G501" s="54">
        <v>1082859.0</v>
      </c>
      <c r="H501" s="55">
        <v>966.0</v>
      </c>
      <c r="I501" s="54">
        <v>1213000.0</v>
      </c>
      <c r="J501" s="42">
        <v>930.0</v>
      </c>
      <c r="K501" s="42">
        <v>477774.0</v>
      </c>
      <c r="L501" s="32">
        <f t="shared" si="1"/>
        <v>-3.225806452</v>
      </c>
      <c r="M501" s="32">
        <f t="shared" si="2"/>
        <v>-5.295315682</v>
      </c>
      <c r="N501" s="32">
        <f t="shared" si="3"/>
        <v>-3.726708075</v>
      </c>
    </row>
    <row r="502">
      <c r="A502" s="42" t="s">
        <v>159</v>
      </c>
      <c r="B502" s="42">
        <v>18.0</v>
      </c>
      <c r="C502" s="42">
        <v>9.0</v>
      </c>
      <c r="D502" s="54">
        <v>956.0</v>
      </c>
      <c r="E502" s="54">
        <v>1203563.0</v>
      </c>
      <c r="F502" s="54">
        <v>981.0</v>
      </c>
      <c r="G502" s="54">
        <v>1203441.0</v>
      </c>
      <c r="H502" s="55">
        <v>968.0</v>
      </c>
      <c r="I502" s="54">
        <v>1213000.0</v>
      </c>
      <c r="J502" s="42">
        <v>933.0</v>
      </c>
      <c r="K502" s="42">
        <v>473903.0</v>
      </c>
      <c r="L502" s="32">
        <f t="shared" si="1"/>
        <v>-2.405857741</v>
      </c>
      <c r="M502" s="32">
        <f t="shared" si="2"/>
        <v>-4.892966361</v>
      </c>
      <c r="N502" s="32">
        <f t="shared" si="3"/>
        <v>-3.615702479</v>
      </c>
    </row>
    <row r="503">
      <c r="A503" s="42" t="s">
        <v>159</v>
      </c>
      <c r="B503" s="42">
        <v>18.0</v>
      </c>
      <c r="C503" s="42">
        <v>10.0</v>
      </c>
      <c r="D503" s="54">
        <v>957.0</v>
      </c>
      <c r="E503" s="54">
        <v>1204154.0</v>
      </c>
      <c r="F503" s="54">
        <v>983.0</v>
      </c>
      <c r="G503" s="54">
        <v>1203421.0</v>
      </c>
      <c r="H503" s="55">
        <v>966.0</v>
      </c>
      <c r="I503" s="54">
        <v>1213000.0</v>
      </c>
      <c r="J503" s="42">
        <v>930.0</v>
      </c>
      <c r="K503" s="42">
        <v>453729.0</v>
      </c>
      <c r="L503" s="32">
        <f t="shared" si="1"/>
        <v>-2.821316614</v>
      </c>
      <c r="M503" s="32">
        <f t="shared" si="2"/>
        <v>-5.391658189</v>
      </c>
      <c r="N503" s="32">
        <f t="shared" si="3"/>
        <v>-3.726708075</v>
      </c>
    </row>
    <row r="504">
      <c r="A504" s="42" t="s">
        <v>159</v>
      </c>
      <c r="B504" s="42">
        <v>20.0</v>
      </c>
      <c r="C504" s="42">
        <v>1.0</v>
      </c>
      <c r="D504" s="54">
        <v>962.0</v>
      </c>
      <c r="E504" s="54">
        <v>1202249.0</v>
      </c>
      <c r="F504" s="54">
        <v>986.0</v>
      </c>
      <c r="G504" s="54">
        <v>1083069.0</v>
      </c>
      <c r="H504" s="55">
        <v>972.0</v>
      </c>
      <c r="I504" s="54">
        <v>1213000.0</v>
      </c>
      <c r="J504" s="42">
        <v>944.0</v>
      </c>
      <c r="K504" s="42">
        <v>498348.0</v>
      </c>
      <c r="L504" s="32">
        <f t="shared" si="1"/>
        <v>-1.871101871</v>
      </c>
      <c r="M504" s="32">
        <f t="shared" si="2"/>
        <v>-4.259634888</v>
      </c>
      <c r="N504" s="32">
        <f t="shared" si="3"/>
        <v>-2.880658436</v>
      </c>
    </row>
    <row r="505">
      <c r="A505" s="42" t="s">
        <v>159</v>
      </c>
      <c r="B505" s="42">
        <v>20.0</v>
      </c>
      <c r="C505" s="42">
        <v>2.0</v>
      </c>
      <c r="D505" s="54">
        <v>959.0</v>
      </c>
      <c r="E505" s="54">
        <v>1201578.0</v>
      </c>
      <c r="F505" s="54">
        <v>983.0</v>
      </c>
      <c r="G505" s="54">
        <v>1203157.0</v>
      </c>
      <c r="H505" s="55">
        <v>971.0</v>
      </c>
      <c r="I505" s="54">
        <v>1215000.0</v>
      </c>
      <c r="J505" s="42">
        <v>942.0</v>
      </c>
      <c r="K505" s="42">
        <v>500776.0</v>
      </c>
      <c r="L505" s="32">
        <f t="shared" si="1"/>
        <v>-1.772679875</v>
      </c>
      <c r="M505" s="32">
        <f t="shared" si="2"/>
        <v>-4.170905392</v>
      </c>
      <c r="N505" s="32">
        <f t="shared" si="3"/>
        <v>-2.98661174</v>
      </c>
    </row>
    <row r="506">
      <c r="A506" s="42" t="s">
        <v>159</v>
      </c>
      <c r="B506" s="42">
        <v>20.0</v>
      </c>
      <c r="C506" s="42">
        <v>3.0</v>
      </c>
      <c r="D506" s="54">
        <v>959.0</v>
      </c>
      <c r="E506" s="54">
        <v>1204023.0</v>
      </c>
      <c r="F506" s="54">
        <v>985.0</v>
      </c>
      <c r="G506" s="54">
        <v>1203346.0</v>
      </c>
      <c r="H506" s="55">
        <v>972.0</v>
      </c>
      <c r="I506" s="54">
        <v>1213000.0</v>
      </c>
      <c r="J506" s="42">
        <v>942.0</v>
      </c>
      <c r="K506" s="42">
        <v>499646.0</v>
      </c>
      <c r="L506" s="32">
        <f t="shared" si="1"/>
        <v>-1.772679875</v>
      </c>
      <c r="M506" s="32">
        <f t="shared" si="2"/>
        <v>-4.365482234</v>
      </c>
      <c r="N506" s="32">
        <f t="shared" si="3"/>
        <v>-3.086419753</v>
      </c>
    </row>
    <row r="507">
      <c r="A507" s="42" t="s">
        <v>159</v>
      </c>
      <c r="B507" s="42">
        <v>20.0</v>
      </c>
      <c r="C507" s="42">
        <v>4.0</v>
      </c>
      <c r="D507" s="54">
        <v>964.0</v>
      </c>
      <c r="E507" s="54">
        <v>1200459.0</v>
      </c>
      <c r="F507" s="54">
        <v>984.0</v>
      </c>
      <c r="G507" s="54">
        <v>1083090.0</v>
      </c>
      <c r="H507" s="55">
        <v>972.0</v>
      </c>
      <c r="I507" s="54">
        <v>1213000.0</v>
      </c>
      <c r="J507" s="42">
        <v>944.0</v>
      </c>
      <c r="K507" s="42">
        <v>498165.0</v>
      </c>
      <c r="L507" s="32">
        <f t="shared" si="1"/>
        <v>-2.074688797</v>
      </c>
      <c r="M507" s="32">
        <f t="shared" si="2"/>
        <v>-4.06504065</v>
      </c>
      <c r="N507" s="32">
        <f t="shared" si="3"/>
        <v>-2.880658436</v>
      </c>
    </row>
    <row r="508">
      <c r="A508" s="42" t="s">
        <v>159</v>
      </c>
      <c r="B508" s="42">
        <v>20.0</v>
      </c>
      <c r="C508" s="42">
        <v>5.0</v>
      </c>
      <c r="D508" s="54">
        <v>959.0</v>
      </c>
      <c r="E508" s="54">
        <v>1201495.0</v>
      </c>
      <c r="F508" s="54">
        <v>988.0</v>
      </c>
      <c r="G508" s="54">
        <v>1082608.0</v>
      </c>
      <c r="H508" s="55">
        <v>972.0</v>
      </c>
      <c r="I508" s="54">
        <v>1213000.0</v>
      </c>
      <c r="J508" s="42">
        <v>942.0</v>
      </c>
      <c r="K508" s="42">
        <v>505671.0</v>
      </c>
      <c r="L508" s="32">
        <f t="shared" si="1"/>
        <v>-1.772679875</v>
      </c>
      <c r="M508" s="32">
        <f t="shared" si="2"/>
        <v>-4.655870445</v>
      </c>
      <c r="N508" s="32">
        <f t="shared" si="3"/>
        <v>-3.086419753</v>
      </c>
    </row>
    <row r="509">
      <c r="A509" s="42" t="s">
        <v>159</v>
      </c>
      <c r="B509" s="42">
        <v>20.0</v>
      </c>
      <c r="C509" s="42">
        <v>6.0</v>
      </c>
      <c r="D509" s="54">
        <v>962.0</v>
      </c>
      <c r="E509" s="54">
        <v>1204219.0</v>
      </c>
      <c r="F509" s="54">
        <v>986.0</v>
      </c>
      <c r="G509" s="54">
        <v>1082934.0</v>
      </c>
      <c r="H509" s="55">
        <v>972.0</v>
      </c>
      <c r="I509" s="54">
        <v>1213000.0</v>
      </c>
      <c r="J509" s="42">
        <v>943.0</v>
      </c>
      <c r="K509" s="42">
        <v>507303.0</v>
      </c>
      <c r="L509" s="32">
        <f t="shared" si="1"/>
        <v>-1.975051975</v>
      </c>
      <c r="M509" s="32">
        <f t="shared" si="2"/>
        <v>-4.361054767</v>
      </c>
      <c r="N509" s="32">
        <f t="shared" si="3"/>
        <v>-2.983539095</v>
      </c>
    </row>
    <row r="510">
      <c r="A510" s="42" t="s">
        <v>159</v>
      </c>
      <c r="B510" s="42">
        <v>20.0</v>
      </c>
      <c r="C510" s="42">
        <v>7.0</v>
      </c>
      <c r="D510" s="54">
        <v>960.0</v>
      </c>
      <c r="E510" s="54">
        <v>1205626.0</v>
      </c>
      <c r="F510" s="54">
        <v>985.0</v>
      </c>
      <c r="G510" s="54">
        <v>1083558.0</v>
      </c>
      <c r="H510" s="55">
        <v>973.0</v>
      </c>
      <c r="I510" s="54">
        <v>1213000.0</v>
      </c>
      <c r="J510" s="42">
        <v>944.0</v>
      </c>
      <c r="K510" s="42">
        <v>493767.0</v>
      </c>
      <c r="L510" s="32">
        <f t="shared" si="1"/>
        <v>-1.666666667</v>
      </c>
      <c r="M510" s="32">
        <f t="shared" si="2"/>
        <v>-4.162436548</v>
      </c>
      <c r="N510" s="32">
        <f t="shared" si="3"/>
        <v>-2.980472765</v>
      </c>
    </row>
    <row r="511">
      <c r="A511" s="42" t="s">
        <v>159</v>
      </c>
      <c r="B511" s="42">
        <v>20.0</v>
      </c>
      <c r="C511" s="42">
        <v>8.0</v>
      </c>
      <c r="D511" s="54">
        <v>961.0</v>
      </c>
      <c r="E511" s="54">
        <v>1201583.0</v>
      </c>
      <c r="F511" s="54">
        <v>984.0</v>
      </c>
      <c r="G511" s="54">
        <v>1202581.0</v>
      </c>
      <c r="H511" s="55">
        <v>971.0</v>
      </c>
      <c r="I511" s="54">
        <v>1213000.0</v>
      </c>
      <c r="J511" s="42">
        <v>941.0</v>
      </c>
      <c r="K511" s="42">
        <v>500152.0</v>
      </c>
      <c r="L511" s="32">
        <f t="shared" si="1"/>
        <v>-2.081165453</v>
      </c>
      <c r="M511" s="32">
        <f t="shared" si="2"/>
        <v>-4.369918699</v>
      </c>
      <c r="N511" s="32">
        <f t="shared" si="3"/>
        <v>-3.089598352</v>
      </c>
    </row>
    <row r="512">
      <c r="A512" s="42" t="s">
        <v>159</v>
      </c>
      <c r="B512" s="42">
        <v>20.0</v>
      </c>
      <c r="C512" s="42">
        <v>9.0</v>
      </c>
      <c r="D512" s="54">
        <v>962.0</v>
      </c>
      <c r="E512" s="54">
        <v>1200603.0</v>
      </c>
      <c r="F512" s="54">
        <v>984.0</v>
      </c>
      <c r="G512" s="54">
        <v>1203108.0</v>
      </c>
      <c r="H512" s="55">
        <v>972.0</v>
      </c>
      <c r="I512" s="54">
        <v>1214000.0</v>
      </c>
      <c r="J512" s="42">
        <v>943.0</v>
      </c>
      <c r="K512" s="42">
        <v>494397.0</v>
      </c>
      <c r="L512" s="32">
        <f t="shared" si="1"/>
        <v>-1.975051975</v>
      </c>
      <c r="M512" s="32">
        <f t="shared" si="2"/>
        <v>-4.166666667</v>
      </c>
      <c r="N512" s="32">
        <f t="shared" si="3"/>
        <v>-2.983539095</v>
      </c>
    </row>
    <row r="513">
      <c r="A513" s="42" t="s">
        <v>159</v>
      </c>
      <c r="B513" s="42">
        <v>20.0</v>
      </c>
      <c r="C513" s="42">
        <v>10.0</v>
      </c>
      <c r="D513" s="54">
        <v>965.0</v>
      </c>
      <c r="E513" s="54">
        <v>1201692.0</v>
      </c>
      <c r="F513" s="54">
        <v>985.0</v>
      </c>
      <c r="G513" s="54">
        <v>1203229.0</v>
      </c>
      <c r="H513" s="55">
        <v>972.0</v>
      </c>
      <c r="I513" s="54">
        <v>1213000.0</v>
      </c>
      <c r="J513" s="42">
        <v>941.0</v>
      </c>
      <c r="K513" s="42">
        <v>492561.0</v>
      </c>
      <c r="L513" s="32">
        <f t="shared" si="1"/>
        <v>-2.487046632</v>
      </c>
      <c r="M513" s="32">
        <f t="shared" si="2"/>
        <v>-4.467005076</v>
      </c>
      <c r="N513" s="32">
        <f t="shared" si="3"/>
        <v>-3.189300412</v>
      </c>
    </row>
    <row r="514">
      <c r="A514" s="42" t="s">
        <v>159</v>
      </c>
      <c r="B514" s="42">
        <v>24.0</v>
      </c>
      <c r="C514" s="42">
        <v>1.0</v>
      </c>
      <c r="D514" s="54">
        <v>973.0</v>
      </c>
      <c r="E514" s="54">
        <v>1204315.0</v>
      </c>
      <c r="F514" s="54">
        <v>990.0</v>
      </c>
      <c r="G514" s="54">
        <v>1202343.0</v>
      </c>
      <c r="H514" s="55">
        <v>980.0</v>
      </c>
      <c r="I514" s="54">
        <v>1213000.0</v>
      </c>
      <c r="J514" s="42">
        <v>959.0</v>
      </c>
      <c r="K514" s="42">
        <v>569259.0</v>
      </c>
      <c r="L514" s="32">
        <f t="shared" si="1"/>
        <v>-1.438848921</v>
      </c>
      <c r="M514" s="32">
        <f t="shared" si="2"/>
        <v>-3.131313131</v>
      </c>
      <c r="N514" s="32">
        <f t="shared" si="3"/>
        <v>-2.142857143</v>
      </c>
    </row>
    <row r="515">
      <c r="A515" s="42" t="s">
        <v>159</v>
      </c>
      <c r="B515" s="42">
        <v>24.0</v>
      </c>
      <c r="C515" s="42">
        <v>2.0</v>
      </c>
      <c r="D515" s="54">
        <v>973.0</v>
      </c>
      <c r="E515" s="54">
        <v>1202060.0</v>
      </c>
      <c r="F515" s="54">
        <v>990.0</v>
      </c>
      <c r="G515" s="54">
        <v>1082640.0</v>
      </c>
      <c r="H515" s="55">
        <v>981.0</v>
      </c>
      <c r="I515" s="54">
        <v>1216000.0</v>
      </c>
      <c r="J515" s="42">
        <v>961.0</v>
      </c>
      <c r="K515" s="42">
        <v>572498.0</v>
      </c>
      <c r="L515" s="32">
        <f t="shared" si="1"/>
        <v>-1.233299075</v>
      </c>
      <c r="M515" s="32">
        <f t="shared" si="2"/>
        <v>-2.929292929</v>
      </c>
      <c r="N515" s="32">
        <f t="shared" si="3"/>
        <v>-2.038735984</v>
      </c>
    </row>
    <row r="516">
      <c r="A516" s="42" t="s">
        <v>159</v>
      </c>
      <c r="B516" s="42">
        <v>24.0</v>
      </c>
      <c r="C516" s="42">
        <v>3.0</v>
      </c>
      <c r="D516" s="54">
        <v>974.0</v>
      </c>
      <c r="E516" s="54">
        <v>1205378.0</v>
      </c>
      <c r="F516" s="54">
        <v>989.0</v>
      </c>
      <c r="G516" s="54">
        <v>1202409.0</v>
      </c>
      <c r="H516" s="55">
        <v>980.0</v>
      </c>
      <c r="I516" s="54">
        <v>1213000.0</v>
      </c>
      <c r="J516" s="42">
        <v>961.0</v>
      </c>
      <c r="K516" s="42">
        <v>585396.0</v>
      </c>
      <c r="L516" s="32">
        <f t="shared" si="1"/>
        <v>-1.334702259</v>
      </c>
      <c r="M516" s="32">
        <f t="shared" si="2"/>
        <v>-2.831142568</v>
      </c>
      <c r="N516" s="32">
        <f t="shared" si="3"/>
        <v>-1.93877551</v>
      </c>
    </row>
    <row r="517">
      <c r="A517" s="42" t="s">
        <v>159</v>
      </c>
      <c r="B517" s="42">
        <v>24.0</v>
      </c>
      <c r="C517" s="42">
        <v>4.0</v>
      </c>
      <c r="D517" s="54">
        <v>972.0</v>
      </c>
      <c r="E517" s="54">
        <v>1201064.0</v>
      </c>
      <c r="F517" s="54">
        <v>990.0</v>
      </c>
      <c r="G517" s="54">
        <v>1082873.0</v>
      </c>
      <c r="H517" s="55">
        <v>980.0</v>
      </c>
      <c r="I517" s="54">
        <v>1214000.0</v>
      </c>
      <c r="J517" s="42">
        <v>961.0</v>
      </c>
      <c r="K517" s="42">
        <v>560786.0</v>
      </c>
      <c r="L517" s="32">
        <f t="shared" si="1"/>
        <v>-1.131687243</v>
      </c>
      <c r="M517" s="32">
        <f t="shared" si="2"/>
        <v>-2.929292929</v>
      </c>
      <c r="N517" s="32">
        <f t="shared" si="3"/>
        <v>-1.93877551</v>
      </c>
    </row>
    <row r="518">
      <c r="A518" s="42" t="s">
        <v>159</v>
      </c>
      <c r="B518" s="42">
        <v>24.0</v>
      </c>
      <c r="C518" s="42">
        <v>5.0</v>
      </c>
      <c r="D518" s="54">
        <v>972.0</v>
      </c>
      <c r="E518" s="54">
        <v>1203413.0</v>
      </c>
      <c r="F518" s="54">
        <v>988.0</v>
      </c>
      <c r="G518" s="54">
        <v>1203150.0</v>
      </c>
      <c r="H518" s="55">
        <v>980.0</v>
      </c>
      <c r="I518" s="54">
        <v>1213000.0</v>
      </c>
      <c r="J518" s="42">
        <v>960.0</v>
      </c>
      <c r="K518" s="42">
        <v>582634.0</v>
      </c>
      <c r="L518" s="32">
        <f t="shared" si="1"/>
        <v>-1.234567901</v>
      </c>
      <c r="M518" s="32">
        <f t="shared" si="2"/>
        <v>-2.834008097</v>
      </c>
      <c r="N518" s="32">
        <f t="shared" si="3"/>
        <v>-2.040816327</v>
      </c>
    </row>
    <row r="519">
      <c r="A519" s="42" t="s">
        <v>159</v>
      </c>
      <c r="B519" s="42">
        <v>24.0</v>
      </c>
      <c r="C519" s="42">
        <v>6.0</v>
      </c>
      <c r="D519" s="54">
        <v>969.0</v>
      </c>
      <c r="E519" s="54">
        <v>1201659.0</v>
      </c>
      <c r="F519" s="54">
        <v>987.0</v>
      </c>
      <c r="G519" s="54">
        <v>1083055.0</v>
      </c>
      <c r="H519" s="55">
        <v>979.0</v>
      </c>
      <c r="I519" s="54">
        <v>1213000.0</v>
      </c>
      <c r="J519" s="42">
        <v>958.0</v>
      </c>
      <c r="K519" s="42">
        <v>574328.0</v>
      </c>
      <c r="L519" s="32">
        <f t="shared" si="1"/>
        <v>-1.135190918</v>
      </c>
      <c r="M519" s="32">
        <f t="shared" si="2"/>
        <v>-2.938196555</v>
      </c>
      <c r="N519" s="32">
        <f t="shared" si="3"/>
        <v>-2.145045965</v>
      </c>
    </row>
    <row r="520">
      <c r="A520" s="42" t="s">
        <v>159</v>
      </c>
      <c r="B520" s="42">
        <v>24.0</v>
      </c>
      <c r="C520" s="42">
        <v>7.0</v>
      </c>
      <c r="D520" s="54">
        <v>977.0</v>
      </c>
      <c r="E520" s="54">
        <v>1200620.0</v>
      </c>
      <c r="F520" s="54">
        <v>990.0</v>
      </c>
      <c r="G520" s="54">
        <v>1082929.0</v>
      </c>
      <c r="H520" s="55">
        <v>980.0</v>
      </c>
      <c r="I520" s="54">
        <v>1213000.0</v>
      </c>
      <c r="J520" s="42">
        <v>960.0</v>
      </c>
      <c r="K520" s="42">
        <v>561962.0</v>
      </c>
      <c r="L520" s="32">
        <f t="shared" si="1"/>
        <v>-1.740020471</v>
      </c>
      <c r="M520" s="32">
        <f t="shared" si="2"/>
        <v>-3.03030303</v>
      </c>
      <c r="N520" s="32">
        <f t="shared" si="3"/>
        <v>-2.040816327</v>
      </c>
    </row>
    <row r="521">
      <c r="A521" s="42" t="s">
        <v>159</v>
      </c>
      <c r="B521" s="42">
        <v>24.0</v>
      </c>
      <c r="C521" s="42">
        <v>8.0</v>
      </c>
      <c r="D521" s="54">
        <v>972.0</v>
      </c>
      <c r="E521" s="54">
        <v>1201777.0</v>
      </c>
      <c r="F521" s="54">
        <v>989.0</v>
      </c>
      <c r="G521" s="54">
        <v>1203205.0</v>
      </c>
      <c r="H521" s="55">
        <v>980.0</v>
      </c>
      <c r="I521" s="54">
        <v>1213000.0</v>
      </c>
      <c r="J521" s="42">
        <v>961.0</v>
      </c>
      <c r="K521" s="42">
        <v>564804.0</v>
      </c>
      <c r="L521" s="32">
        <f t="shared" si="1"/>
        <v>-1.131687243</v>
      </c>
      <c r="M521" s="32">
        <f t="shared" si="2"/>
        <v>-2.831142568</v>
      </c>
      <c r="N521" s="32">
        <f t="shared" si="3"/>
        <v>-1.93877551</v>
      </c>
    </row>
    <row r="522">
      <c r="A522" s="42" t="s">
        <v>159</v>
      </c>
      <c r="B522" s="42">
        <v>24.0</v>
      </c>
      <c r="C522" s="42">
        <v>9.0</v>
      </c>
      <c r="D522" s="54">
        <v>971.0</v>
      </c>
      <c r="E522" s="54">
        <v>1204120.0</v>
      </c>
      <c r="F522" s="54">
        <v>987.0</v>
      </c>
      <c r="G522" s="54">
        <v>1082899.0</v>
      </c>
      <c r="H522" s="55">
        <v>980.0</v>
      </c>
      <c r="I522" s="54">
        <v>1213000.0</v>
      </c>
      <c r="J522" s="42">
        <v>959.0</v>
      </c>
      <c r="K522" s="42">
        <v>559074.0</v>
      </c>
      <c r="L522" s="32">
        <f t="shared" si="1"/>
        <v>-1.235839341</v>
      </c>
      <c r="M522" s="32">
        <f t="shared" si="2"/>
        <v>-2.836879433</v>
      </c>
      <c r="N522" s="32">
        <f t="shared" si="3"/>
        <v>-2.142857143</v>
      </c>
    </row>
    <row r="523">
      <c r="A523" s="42" t="s">
        <v>159</v>
      </c>
      <c r="B523" s="42">
        <v>24.0</v>
      </c>
      <c r="C523" s="42">
        <v>10.0</v>
      </c>
      <c r="D523" s="54">
        <v>977.0</v>
      </c>
      <c r="E523" s="54">
        <v>1204979.0</v>
      </c>
      <c r="F523" s="54">
        <v>988.0</v>
      </c>
      <c r="G523" s="54">
        <v>1082962.0</v>
      </c>
      <c r="H523" s="55">
        <v>980.0</v>
      </c>
      <c r="I523" s="54">
        <v>1213000.0</v>
      </c>
      <c r="J523" s="42">
        <v>961.0</v>
      </c>
      <c r="K523" s="42">
        <v>574936.0</v>
      </c>
      <c r="L523" s="32">
        <f t="shared" si="1"/>
        <v>-1.637666325</v>
      </c>
      <c r="M523" s="32">
        <f t="shared" si="2"/>
        <v>-2.732793522</v>
      </c>
      <c r="N523" s="32">
        <f t="shared" si="3"/>
        <v>-1.93877551</v>
      </c>
    </row>
    <row r="524">
      <c r="A524" s="42" t="s">
        <v>159</v>
      </c>
      <c r="B524" s="42">
        <v>28.0</v>
      </c>
      <c r="C524" s="42">
        <v>1.0</v>
      </c>
      <c r="D524" s="54">
        <v>979.0</v>
      </c>
      <c r="E524" s="54">
        <v>1200116.0</v>
      </c>
      <c r="F524" s="54">
        <v>990.0</v>
      </c>
      <c r="G524" s="54">
        <v>1202712.0</v>
      </c>
      <c r="H524" s="55">
        <v>985.0</v>
      </c>
      <c r="I524" s="54">
        <v>1213000.0</v>
      </c>
      <c r="J524" s="42">
        <v>970.0</v>
      </c>
      <c r="K524" s="42">
        <v>666028.0</v>
      </c>
      <c r="L524" s="32">
        <f t="shared" si="1"/>
        <v>-0.9193054137</v>
      </c>
      <c r="M524" s="32">
        <f t="shared" si="2"/>
        <v>-2.02020202</v>
      </c>
      <c r="N524" s="32">
        <f t="shared" si="3"/>
        <v>-1.52284264</v>
      </c>
    </row>
    <row r="525">
      <c r="A525" s="42" t="s">
        <v>159</v>
      </c>
      <c r="B525" s="42">
        <v>28.0</v>
      </c>
      <c r="C525" s="42">
        <v>2.0</v>
      </c>
      <c r="D525" s="54">
        <v>978.0</v>
      </c>
      <c r="E525" s="54">
        <v>1203074.0</v>
      </c>
      <c r="F525" s="54">
        <v>991.0</v>
      </c>
      <c r="G525" s="54">
        <v>1202485.0</v>
      </c>
      <c r="H525" s="55">
        <v>984.0</v>
      </c>
      <c r="I525" s="54">
        <v>1213000.0</v>
      </c>
      <c r="J525" s="42">
        <v>968.0</v>
      </c>
      <c r="K525" s="42">
        <v>639919.0</v>
      </c>
      <c r="L525" s="32">
        <f t="shared" si="1"/>
        <v>-1.022494888</v>
      </c>
      <c r="M525" s="32">
        <f t="shared" si="2"/>
        <v>-2.320887992</v>
      </c>
      <c r="N525" s="32">
        <f t="shared" si="3"/>
        <v>-1.62601626</v>
      </c>
    </row>
    <row r="526">
      <c r="A526" s="42" t="s">
        <v>159</v>
      </c>
      <c r="B526" s="42">
        <v>28.0</v>
      </c>
      <c r="C526" s="42">
        <v>3.0</v>
      </c>
      <c r="D526" s="54">
        <v>982.0</v>
      </c>
      <c r="E526" s="54">
        <v>1201494.0</v>
      </c>
      <c r="F526" s="54">
        <v>991.0</v>
      </c>
      <c r="G526" s="54">
        <v>1203143.0</v>
      </c>
      <c r="H526" s="55">
        <v>985.0</v>
      </c>
      <c r="I526" s="54">
        <v>1212000.0</v>
      </c>
      <c r="J526" s="42">
        <v>973.0</v>
      </c>
      <c r="K526" s="42">
        <v>643854.0</v>
      </c>
      <c r="L526" s="32">
        <f t="shared" si="1"/>
        <v>-0.916496945</v>
      </c>
      <c r="M526" s="32">
        <f t="shared" si="2"/>
        <v>-1.816347124</v>
      </c>
      <c r="N526" s="32">
        <f t="shared" si="3"/>
        <v>-1.218274112</v>
      </c>
    </row>
    <row r="527">
      <c r="A527" s="42" t="s">
        <v>159</v>
      </c>
      <c r="B527" s="42">
        <v>28.0</v>
      </c>
      <c r="C527" s="42">
        <v>4.0</v>
      </c>
      <c r="D527" s="54">
        <v>980.0</v>
      </c>
      <c r="E527" s="54">
        <v>1203979.0</v>
      </c>
      <c r="F527" s="54">
        <v>990.0</v>
      </c>
      <c r="G527" s="54">
        <v>1082157.0</v>
      </c>
      <c r="H527" s="55">
        <v>983.0</v>
      </c>
      <c r="I527" s="54">
        <v>1215000.0</v>
      </c>
      <c r="J527" s="42">
        <v>970.0</v>
      </c>
      <c r="K527" s="42">
        <v>632888.0</v>
      </c>
      <c r="L527" s="32">
        <f t="shared" si="1"/>
        <v>-1.020408163</v>
      </c>
      <c r="M527" s="32">
        <f t="shared" si="2"/>
        <v>-2.02020202</v>
      </c>
      <c r="N527" s="32">
        <f t="shared" si="3"/>
        <v>-1.322482197</v>
      </c>
    </row>
    <row r="528">
      <c r="A528" s="42" t="s">
        <v>159</v>
      </c>
      <c r="B528" s="42">
        <v>28.0</v>
      </c>
      <c r="C528" s="42">
        <v>5.0</v>
      </c>
      <c r="D528" s="54">
        <v>980.0</v>
      </c>
      <c r="E528" s="54">
        <v>1202252.0</v>
      </c>
      <c r="F528" s="54">
        <v>990.0</v>
      </c>
      <c r="G528" s="54">
        <v>1083121.0</v>
      </c>
      <c r="H528" s="55">
        <v>983.0</v>
      </c>
      <c r="I528" s="54">
        <v>1213000.0</v>
      </c>
      <c r="J528" s="42">
        <v>971.0</v>
      </c>
      <c r="K528" s="42">
        <v>651340.0</v>
      </c>
      <c r="L528" s="32">
        <f t="shared" si="1"/>
        <v>-0.9183673469</v>
      </c>
      <c r="M528" s="32">
        <f t="shared" si="2"/>
        <v>-1.919191919</v>
      </c>
      <c r="N528" s="32">
        <f t="shared" si="3"/>
        <v>-1.220752798</v>
      </c>
    </row>
    <row r="529">
      <c r="A529" s="42" t="s">
        <v>159</v>
      </c>
      <c r="B529" s="42">
        <v>28.0</v>
      </c>
      <c r="C529" s="42">
        <v>6.0</v>
      </c>
      <c r="D529" s="54">
        <v>979.0</v>
      </c>
      <c r="E529" s="54">
        <v>1203747.0</v>
      </c>
      <c r="F529" s="54">
        <v>991.0</v>
      </c>
      <c r="G529" s="54">
        <v>1203035.0</v>
      </c>
      <c r="H529" s="55">
        <v>984.0</v>
      </c>
      <c r="I529" s="54">
        <v>1213000.0</v>
      </c>
      <c r="J529" s="42">
        <v>970.0</v>
      </c>
      <c r="K529" s="42">
        <v>653001.0</v>
      </c>
      <c r="L529" s="32">
        <f t="shared" si="1"/>
        <v>-0.9193054137</v>
      </c>
      <c r="M529" s="32">
        <f t="shared" si="2"/>
        <v>-2.119071645</v>
      </c>
      <c r="N529" s="32">
        <f t="shared" si="3"/>
        <v>-1.422764228</v>
      </c>
    </row>
    <row r="530">
      <c r="A530" s="42" t="s">
        <v>159</v>
      </c>
      <c r="B530" s="42">
        <v>28.0</v>
      </c>
      <c r="C530" s="42">
        <v>7.0</v>
      </c>
      <c r="D530" s="54">
        <v>979.0</v>
      </c>
      <c r="E530" s="54">
        <v>1201270.0</v>
      </c>
      <c r="F530" s="54">
        <v>990.0</v>
      </c>
      <c r="G530" s="54">
        <v>1083192.0</v>
      </c>
      <c r="H530" s="55">
        <v>984.0</v>
      </c>
      <c r="I530" s="54">
        <v>1212000.0</v>
      </c>
      <c r="J530" s="42">
        <v>970.0</v>
      </c>
      <c r="K530" s="42">
        <v>636847.0</v>
      </c>
      <c r="L530" s="32">
        <f t="shared" si="1"/>
        <v>-0.9193054137</v>
      </c>
      <c r="M530" s="32">
        <f t="shared" si="2"/>
        <v>-2.02020202</v>
      </c>
      <c r="N530" s="32">
        <f t="shared" si="3"/>
        <v>-1.422764228</v>
      </c>
    </row>
    <row r="531">
      <c r="A531" s="42" t="s">
        <v>159</v>
      </c>
      <c r="B531" s="42">
        <v>28.0</v>
      </c>
      <c r="C531" s="42">
        <v>8.0</v>
      </c>
      <c r="D531" s="54">
        <v>979.0</v>
      </c>
      <c r="E531" s="54">
        <v>1202289.0</v>
      </c>
      <c r="F531" s="54">
        <v>989.0</v>
      </c>
      <c r="G531" s="54">
        <v>1203020.0</v>
      </c>
      <c r="H531" s="55">
        <v>984.0</v>
      </c>
      <c r="I531" s="54">
        <v>1214000.0</v>
      </c>
      <c r="J531" s="42">
        <v>971.0</v>
      </c>
      <c r="K531" s="42">
        <v>657389.0</v>
      </c>
      <c r="L531" s="32">
        <f t="shared" si="1"/>
        <v>-0.8171603677</v>
      </c>
      <c r="M531" s="32">
        <f t="shared" si="2"/>
        <v>-1.820020222</v>
      </c>
      <c r="N531" s="32">
        <f t="shared" si="3"/>
        <v>-1.321138211</v>
      </c>
    </row>
    <row r="532">
      <c r="A532" s="42" t="s">
        <v>159</v>
      </c>
      <c r="B532" s="42">
        <v>28.0</v>
      </c>
      <c r="C532" s="42">
        <v>9.0</v>
      </c>
      <c r="D532" s="54">
        <v>980.0</v>
      </c>
      <c r="E532" s="54">
        <v>1201742.0</v>
      </c>
      <c r="F532" s="54">
        <v>991.0</v>
      </c>
      <c r="G532" s="54">
        <v>1203523.0</v>
      </c>
      <c r="H532" s="55">
        <v>985.0</v>
      </c>
      <c r="I532" s="54">
        <v>1213000.0</v>
      </c>
      <c r="J532" s="42">
        <v>972.0</v>
      </c>
      <c r="K532" s="42">
        <v>631001.0</v>
      </c>
      <c r="L532" s="32">
        <f t="shared" si="1"/>
        <v>-0.8163265306</v>
      </c>
      <c r="M532" s="32">
        <f t="shared" si="2"/>
        <v>-1.917255298</v>
      </c>
      <c r="N532" s="32">
        <f t="shared" si="3"/>
        <v>-1.319796954</v>
      </c>
    </row>
    <row r="533">
      <c r="A533" s="42" t="s">
        <v>159</v>
      </c>
      <c r="B533" s="42">
        <v>28.0</v>
      </c>
      <c r="C533" s="42">
        <v>10.0</v>
      </c>
      <c r="D533" s="54">
        <v>978.0</v>
      </c>
      <c r="E533" s="54">
        <v>1205377.0</v>
      </c>
      <c r="F533" s="54">
        <v>991.0</v>
      </c>
      <c r="G533" s="54">
        <v>1203081.0</v>
      </c>
      <c r="H533" s="55">
        <v>985.0</v>
      </c>
      <c r="I533" s="54">
        <v>1213000.0</v>
      </c>
      <c r="J533" s="42">
        <v>970.0</v>
      </c>
      <c r="K533" s="42">
        <v>714657.0</v>
      </c>
      <c r="L533" s="32">
        <f t="shared" si="1"/>
        <v>-0.81799591</v>
      </c>
      <c r="M533" s="32">
        <f t="shared" si="2"/>
        <v>-2.119071645</v>
      </c>
      <c r="N533" s="32">
        <f t="shared" si="3"/>
        <v>-1.52284264</v>
      </c>
    </row>
    <row r="534">
      <c r="A534" s="42" t="s">
        <v>159</v>
      </c>
      <c r="B534" s="42">
        <v>30.0</v>
      </c>
      <c r="C534" s="42">
        <v>1.0</v>
      </c>
      <c r="D534" s="54">
        <v>983.0</v>
      </c>
      <c r="E534" s="54">
        <v>1205515.0</v>
      </c>
      <c r="F534" s="54">
        <v>993.0</v>
      </c>
      <c r="G534" s="54">
        <v>1083299.0</v>
      </c>
      <c r="H534" s="55">
        <v>987.0</v>
      </c>
      <c r="I534" s="54">
        <v>1213000.0</v>
      </c>
      <c r="J534" s="42">
        <v>975.0</v>
      </c>
      <c r="K534" s="42">
        <v>671525.0</v>
      </c>
      <c r="L534" s="32">
        <f t="shared" si="1"/>
        <v>-0.8138351984</v>
      </c>
      <c r="M534" s="32">
        <f t="shared" si="2"/>
        <v>-1.812688822</v>
      </c>
      <c r="N534" s="32">
        <f t="shared" si="3"/>
        <v>-1.215805471</v>
      </c>
    </row>
    <row r="535">
      <c r="A535" s="42" t="s">
        <v>159</v>
      </c>
      <c r="B535" s="42">
        <v>30.0</v>
      </c>
      <c r="C535" s="42">
        <v>2.0</v>
      </c>
      <c r="D535" s="54">
        <v>984.0</v>
      </c>
      <c r="E535" s="54">
        <v>1201446.0</v>
      </c>
      <c r="F535" s="54">
        <v>992.0</v>
      </c>
      <c r="G535" s="54">
        <v>1203060.0</v>
      </c>
      <c r="H535" s="55">
        <v>986.0</v>
      </c>
      <c r="I535" s="54">
        <v>1213000.0</v>
      </c>
      <c r="J535" s="42">
        <v>974.0</v>
      </c>
      <c r="K535" s="42">
        <v>675954.0</v>
      </c>
      <c r="L535" s="32">
        <f t="shared" si="1"/>
        <v>-1.016260163</v>
      </c>
      <c r="M535" s="32">
        <f t="shared" si="2"/>
        <v>-1.814516129</v>
      </c>
      <c r="N535" s="32">
        <f t="shared" si="3"/>
        <v>-1.21703854</v>
      </c>
    </row>
    <row r="536">
      <c r="A536" s="42" t="s">
        <v>159</v>
      </c>
      <c r="B536" s="42">
        <v>30.0</v>
      </c>
      <c r="C536" s="42">
        <v>3.0</v>
      </c>
      <c r="D536" s="54">
        <v>980.0</v>
      </c>
      <c r="E536" s="54">
        <v>1204648.0</v>
      </c>
      <c r="F536" s="54">
        <v>991.0</v>
      </c>
      <c r="G536" s="54">
        <v>1203166.0</v>
      </c>
      <c r="H536" s="55">
        <v>986.0</v>
      </c>
      <c r="I536" s="54">
        <v>1213000.0</v>
      </c>
      <c r="J536" s="42">
        <v>972.0</v>
      </c>
      <c r="K536" s="42">
        <v>676234.0</v>
      </c>
      <c r="L536" s="32">
        <f t="shared" si="1"/>
        <v>-0.8163265306</v>
      </c>
      <c r="M536" s="32">
        <f t="shared" si="2"/>
        <v>-1.917255298</v>
      </c>
      <c r="N536" s="32">
        <f t="shared" si="3"/>
        <v>-1.419878296</v>
      </c>
    </row>
    <row r="537">
      <c r="A537" s="42" t="s">
        <v>159</v>
      </c>
      <c r="B537" s="42">
        <v>30.0</v>
      </c>
      <c r="C537" s="42">
        <v>4.0</v>
      </c>
      <c r="D537" s="54">
        <v>981.0</v>
      </c>
      <c r="E537" s="54">
        <v>1199983.0</v>
      </c>
      <c r="F537" s="54">
        <v>992.0</v>
      </c>
      <c r="G537" s="54">
        <v>1203402.0</v>
      </c>
      <c r="H537" s="55">
        <v>986.0</v>
      </c>
      <c r="I537" s="54">
        <v>1213000.0</v>
      </c>
      <c r="J537" s="42">
        <v>975.0</v>
      </c>
      <c r="K537" s="42">
        <v>686833.0</v>
      </c>
      <c r="L537" s="32">
        <f t="shared" si="1"/>
        <v>-0.6116207951</v>
      </c>
      <c r="M537" s="32">
        <f t="shared" si="2"/>
        <v>-1.713709677</v>
      </c>
      <c r="N537" s="32">
        <f t="shared" si="3"/>
        <v>-1.115618661</v>
      </c>
    </row>
    <row r="538">
      <c r="A538" s="42" t="s">
        <v>159</v>
      </c>
      <c r="B538" s="42">
        <v>30.0</v>
      </c>
      <c r="C538" s="42">
        <v>5.0</v>
      </c>
      <c r="D538" s="54">
        <v>983.0</v>
      </c>
      <c r="E538" s="54">
        <v>1203487.0</v>
      </c>
      <c r="F538" s="54">
        <v>992.0</v>
      </c>
      <c r="G538" s="54">
        <v>1082894.0</v>
      </c>
      <c r="H538" s="55">
        <v>987.0</v>
      </c>
      <c r="I538" s="54">
        <v>1213000.0</v>
      </c>
      <c r="J538" s="42">
        <v>974.0</v>
      </c>
      <c r="K538" s="42">
        <v>691507.0</v>
      </c>
      <c r="L538" s="32">
        <f t="shared" si="1"/>
        <v>-0.9155645982</v>
      </c>
      <c r="M538" s="32">
        <f t="shared" si="2"/>
        <v>-1.814516129</v>
      </c>
      <c r="N538" s="32">
        <f t="shared" si="3"/>
        <v>-1.317122594</v>
      </c>
    </row>
    <row r="539">
      <c r="A539" s="42" t="s">
        <v>159</v>
      </c>
      <c r="B539" s="42">
        <v>30.0</v>
      </c>
      <c r="C539" s="42">
        <v>6.0</v>
      </c>
      <c r="D539" s="54">
        <v>982.0</v>
      </c>
      <c r="E539" s="54">
        <v>1201162.0</v>
      </c>
      <c r="F539" s="54">
        <v>993.0</v>
      </c>
      <c r="G539" s="54">
        <v>1203054.0</v>
      </c>
      <c r="H539" s="55">
        <v>986.0</v>
      </c>
      <c r="I539" s="54">
        <v>1213000.0</v>
      </c>
      <c r="J539" s="42">
        <v>975.0</v>
      </c>
      <c r="K539" s="42">
        <v>687593.0</v>
      </c>
      <c r="L539" s="32">
        <f t="shared" si="1"/>
        <v>-0.7128309572</v>
      </c>
      <c r="M539" s="32">
        <f t="shared" si="2"/>
        <v>-1.812688822</v>
      </c>
      <c r="N539" s="32">
        <f t="shared" si="3"/>
        <v>-1.115618661</v>
      </c>
    </row>
    <row r="540">
      <c r="A540" s="42" t="s">
        <v>159</v>
      </c>
      <c r="B540" s="42">
        <v>30.0</v>
      </c>
      <c r="C540" s="42">
        <v>7.0</v>
      </c>
      <c r="D540" s="54">
        <v>980.0</v>
      </c>
      <c r="E540" s="54">
        <v>1203593.0</v>
      </c>
      <c r="F540" s="54">
        <v>992.0</v>
      </c>
      <c r="G540" s="54">
        <v>1203425.0</v>
      </c>
      <c r="H540" s="55">
        <v>986.0</v>
      </c>
      <c r="I540" s="54">
        <v>1213000.0</v>
      </c>
      <c r="J540" s="42">
        <v>974.0</v>
      </c>
      <c r="K540" s="42">
        <v>669954.0</v>
      </c>
      <c r="L540" s="32">
        <f t="shared" si="1"/>
        <v>-0.612244898</v>
      </c>
      <c r="M540" s="32">
        <f t="shared" si="2"/>
        <v>-1.814516129</v>
      </c>
      <c r="N540" s="32">
        <f t="shared" si="3"/>
        <v>-1.21703854</v>
      </c>
    </row>
    <row r="541">
      <c r="A541" s="42" t="s">
        <v>159</v>
      </c>
      <c r="B541" s="42">
        <v>30.0</v>
      </c>
      <c r="C541" s="42">
        <v>8.0</v>
      </c>
      <c r="D541" s="54">
        <v>983.0</v>
      </c>
      <c r="E541" s="54">
        <v>1200637.0</v>
      </c>
      <c r="F541" s="54">
        <v>992.0</v>
      </c>
      <c r="G541" s="54">
        <v>1083178.0</v>
      </c>
      <c r="H541" s="55">
        <v>986.0</v>
      </c>
      <c r="I541" s="54">
        <v>1213000.0</v>
      </c>
      <c r="J541" s="42">
        <v>974.0</v>
      </c>
      <c r="K541" s="42">
        <v>668238.0</v>
      </c>
      <c r="L541" s="32">
        <f t="shared" si="1"/>
        <v>-0.9155645982</v>
      </c>
      <c r="M541" s="32">
        <f t="shared" si="2"/>
        <v>-1.814516129</v>
      </c>
      <c r="N541" s="32">
        <f t="shared" si="3"/>
        <v>-1.21703854</v>
      </c>
    </row>
    <row r="542">
      <c r="A542" s="42" t="s">
        <v>159</v>
      </c>
      <c r="B542" s="42">
        <v>30.0</v>
      </c>
      <c r="C542" s="42">
        <v>9.0</v>
      </c>
      <c r="D542" s="54">
        <v>983.0</v>
      </c>
      <c r="E542" s="54">
        <v>1201039.0</v>
      </c>
      <c r="F542" s="54">
        <v>992.0</v>
      </c>
      <c r="G542" s="54">
        <v>1202644.0</v>
      </c>
      <c r="H542" s="55">
        <v>987.0</v>
      </c>
      <c r="I542" s="54">
        <v>1213000.0</v>
      </c>
      <c r="J542" s="42">
        <v>975.0</v>
      </c>
      <c r="K542" s="42">
        <v>706935.0</v>
      </c>
      <c r="L542" s="32">
        <f t="shared" si="1"/>
        <v>-0.8138351984</v>
      </c>
      <c r="M542" s="32">
        <f t="shared" si="2"/>
        <v>-1.713709677</v>
      </c>
      <c r="N542" s="32">
        <f t="shared" si="3"/>
        <v>-1.215805471</v>
      </c>
    </row>
    <row r="543">
      <c r="A543" s="42" t="s">
        <v>159</v>
      </c>
      <c r="B543" s="42">
        <v>30.0</v>
      </c>
      <c r="C543" s="42">
        <v>10.0</v>
      </c>
      <c r="D543" s="54">
        <v>984.0</v>
      </c>
      <c r="E543" s="54">
        <v>1202117.0</v>
      </c>
      <c r="F543" s="54">
        <v>991.0</v>
      </c>
      <c r="G543" s="54">
        <v>1203082.0</v>
      </c>
      <c r="H543" s="55">
        <v>986.0</v>
      </c>
      <c r="I543" s="54">
        <v>1213000.0</v>
      </c>
      <c r="J543" s="42">
        <v>975.0</v>
      </c>
      <c r="K543" s="42">
        <v>690491.0</v>
      </c>
      <c r="L543" s="32">
        <f t="shared" si="1"/>
        <v>-0.9146341463</v>
      </c>
      <c r="M543" s="32">
        <f t="shared" si="2"/>
        <v>-1.614530777</v>
      </c>
      <c r="N543" s="32">
        <f t="shared" si="3"/>
        <v>-1.115618661</v>
      </c>
    </row>
    <row r="544">
      <c r="A544" s="42" t="s">
        <v>159</v>
      </c>
      <c r="B544" s="42">
        <v>34.0</v>
      </c>
      <c r="C544" s="42">
        <v>1.0</v>
      </c>
      <c r="D544" s="54">
        <v>987.0</v>
      </c>
      <c r="E544" s="54">
        <v>1200300.0</v>
      </c>
      <c r="F544" s="54">
        <v>993.0</v>
      </c>
      <c r="G544" s="54">
        <v>1203238.0</v>
      </c>
      <c r="H544" s="55">
        <v>989.0</v>
      </c>
      <c r="I544" s="54">
        <v>1213000.0</v>
      </c>
      <c r="J544" s="42">
        <v>980.0</v>
      </c>
      <c r="K544" s="42">
        <v>750678.0</v>
      </c>
      <c r="L544" s="32">
        <f t="shared" si="1"/>
        <v>-0.7092198582</v>
      </c>
      <c r="M544" s="32">
        <f t="shared" si="2"/>
        <v>-1.309164149</v>
      </c>
      <c r="N544" s="32">
        <f t="shared" si="3"/>
        <v>-0.9100101112</v>
      </c>
    </row>
    <row r="545">
      <c r="A545" s="42" t="s">
        <v>159</v>
      </c>
      <c r="B545" s="42">
        <v>34.0</v>
      </c>
      <c r="C545" s="42">
        <v>2.0</v>
      </c>
      <c r="D545" s="54">
        <v>986.0</v>
      </c>
      <c r="E545" s="54">
        <v>1205219.0</v>
      </c>
      <c r="F545" s="54">
        <v>994.0</v>
      </c>
      <c r="G545" s="54">
        <v>1203354.0</v>
      </c>
      <c r="H545" s="55">
        <v>989.0</v>
      </c>
      <c r="I545" s="54">
        <v>1214000.0</v>
      </c>
      <c r="J545" s="42">
        <v>981.0</v>
      </c>
      <c r="K545" s="42">
        <v>750285.0</v>
      </c>
      <c r="L545" s="32">
        <f t="shared" si="1"/>
        <v>-0.5070993915</v>
      </c>
      <c r="M545" s="32">
        <f t="shared" si="2"/>
        <v>-1.307847082</v>
      </c>
      <c r="N545" s="32">
        <f t="shared" si="3"/>
        <v>-0.8088978766</v>
      </c>
    </row>
    <row r="546">
      <c r="A546" s="42" t="s">
        <v>159</v>
      </c>
      <c r="B546" s="42">
        <v>34.0</v>
      </c>
      <c r="C546" s="42">
        <v>3.0</v>
      </c>
      <c r="D546" s="54">
        <v>986.0</v>
      </c>
      <c r="E546" s="54">
        <v>1204750.0</v>
      </c>
      <c r="F546" s="54">
        <v>994.0</v>
      </c>
      <c r="G546" s="54">
        <v>1203080.0</v>
      </c>
      <c r="H546" s="55">
        <v>988.0</v>
      </c>
      <c r="I546" s="54">
        <v>1213000.0</v>
      </c>
      <c r="J546" s="42">
        <v>980.0</v>
      </c>
      <c r="K546" s="42">
        <v>735086.0</v>
      </c>
      <c r="L546" s="32">
        <f t="shared" si="1"/>
        <v>-0.6085192698</v>
      </c>
      <c r="M546" s="32">
        <f t="shared" si="2"/>
        <v>-1.408450704</v>
      </c>
      <c r="N546" s="32">
        <f t="shared" si="3"/>
        <v>-0.8097165992</v>
      </c>
    </row>
    <row r="547">
      <c r="A547" s="42" t="s">
        <v>159</v>
      </c>
      <c r="B547" s="42">
        <v>34.0</v>
      </c>
      <c r="C547" s="42">
        <v>4.0</v>
      </c>
      <c r="D547" s="54">
        <v>985.0</v>
      </c>
      <c r="E547" s="54">
        <v>1199938.0</v>
      </c>
      <c r="F547" s="54">
        <v>994.0</v>
      </c>
      <c r="G547" s="54">
        <v>1203100.0</v>
      </c>
      <c r="H547" s="55">
        <v>989.0</v>
      </c>
      <c r="I547" s="54">
        <v>1213000.0</v>
      </c>
      <c r="J547" s="42">
        <v>980.0</v>
      </c>
      <c r="K547" s="42">
        <v>827529.0</v>
      </c>
      <c r="L547" s="32">
        <f t="shared" si="1"/>
        <v>-0.5076142132</v>
      </c>
      <c r="M547" s="32">
        <f t="shared" si="2"/>
        <v>-1.408450704</v>
      </c>
      <c r="N547" s="32">
        <f t="shared" si="3"/>
        <v>-0.9100101112</v>
      </c>
    </row>
    <row r="548">
      <c r="A548" s="42" t="s">
        <v>159</v>
      </c>
      <c r="B548" s="42">
        <v>34.0</v>
      </c>
      <c r="C548" s="42">
        <v>5.0</v>
      </c>
      <c r="D548" s="54">
        <v>988.0</v>
      </c>
      <c r="E548" s="54">
        <v>1204456.0</v>
      </c>
      <c r="F548" s="54">
        <v>994.0</v>
      </c>
      <c r="G548" s="54">
        <v>1203344.0</v>
      </c>
      <c r="H548" s="55">
        <v>989.0</v>
      </c>
      <c r="I548" s="54">
        <v>1213000.0</v>
      </c>
      <c r="J548" s="42">
        <v>981.0</v>
      </c>
      <c r="K548" s="42">
        <v>757775.0</v>
      </c>
      <c r="L548" s="32">
        <f t="shared" si="1"/>
        <v>-0.7085020243</v>
      </c>
      <c r="M548" s="32">
        <f t="shared" si="2"/>
        <v>-1.307847082</v>
      </c>
      <c r="N548" s="32">
        <f t="shared" si="3"/>
        <v>-0.8088978766</v>
      </c>
    </row>
    <row r="549">
      <c r="A549" s="42" t="s">
        <v>159</v>
      </c>
      <c r="B549" s="42">
        <v>34.0</v>
      </c>
      <c r="C549" s="42">
        <v>6.0</v>
      </c>
      <c r="D549" s="54">
        <v>987.0</v>
      </c>
      <c r="E549" s="54">
        <v>1200941.0</v>
      </c>
      <c r="F549" s="54">
        <v>993.0</v>
      </c>
      <c r="G549" s="54">
        <v>1082470.0</v>
      </c>
      <c r="H549" s="55">
        <v>989.0</v>
      </c>
      <c r="I549" s="54">
        <v>1213000.0</v>
      </c>
      <c r="J549" s="42">
        <v>980.0</v>
      </c>
      <c r="K549" s="42">
        <v>747247.0</v>
      </c>
      <c r="L549" s="32">
        <f t="shared" si="1"/>
        <v>-0.7092198582</v>
      </c>
      <c r="M549" s="32">
        <f t="shared" si="2"/>
        <v>-1.309164149</v>
      </c>
      <c r="N549" s="32">
        <f t="shared" si="3"/>
        <v>-0.9100101112</v>
      </c>
    </row>
    <row r="550">
      <c r="A550" s="42" t="s">
        <v>159</v>
      </c>
      <c r="B550" s="42">
        <v>34.0</v>
      </c>
      <c r="C550" s="42">
        <v>7.0</v>
      </c>
      <c r="D550" s="54">
        <v>988.0</v>
      </c>
      <c r="E550" s="54">
        <v>1200828.0</v>
      </c>
      <c r="F550" s="54">
        <v>994.0</v>
      </c>
      <c r="G550" s="54">
        <v>1203199.0</v>
      </c>
      <c r="H550" s="55">
        <v>988.0</v>
      </c>
      <c r="I550" s="54">
        <v>1213000.0</v>
      </c>
      <c r="J550" s="42">
        <v>980.0</v>
      </c>
      <c r="K550" s="42">
        <v>749876.0</v>
      </c>
      <c r="L550" s="32">
        <f t="shared" si="1"/>
        <v>-0.8097165992</v>
      </c>
      <c r="M550" s="32">
        <f t="shared" si="2"/>
        <v>-1.408450704</v>
      </c>
      <c r="N550" s="32">
        <f t="shared" si="3"/>
        <v>-0.8097165992</v>
      </c>
    </row>
    <row r="551">
      <c r="A551" s="42" t="s">
        <v>159</v>
      </c>
      <c r="B551" s="42">
        <v>34.0</v>
      </c>
      <c r="C551" s="42">
        <v>8.0</v>
      </c>
      <c r="D551" s="54">
        <v>987.0</v>
      </c>
      <c r="E551" s="54">
        <v>1204469.0</v>
      </c>
      <c r="F551" s="54">
        <v>992.0</v>
      </c>
      <c r="G551" s="54">
        <v>1202845.0</v>
      </c>
      <c r="H551" s="55">
        <v>989.0</v>
      </c>
      <c r="I551" s="54">
        <v>1213000.0</v>
      </c>
      <c r="J551" s="42">
        <v>980.0</v>
      </c>
      <c r="K551" s="42">
        <v>758682.0</v>
      </c>
      <c r="L551" s="32">
        <f t="shared" si="1"/>
        <v>-0.7092198582</v>
      </c>
      <c r="M551" s="32">
        <f t="shared" si="2"/>
        <v>-1.209677419</v>
      </c>
      <c r="N551" s="32">
        <f t="shared" si="3"/>
        <v>-0.9100101112</v>
      </c>
    </row>
    <row r="552">
      <c r="A552" s="42" t="s">
        <v>159</v>
      </c>
      <c r="B552" s="42">
        <v>34.0</v>
      </c>
      <c r="C552" s="42">
        <v>9.0</v>
      </c>
      <c r="D552" s="54">
        <v>987.0</v>
      </c>
      <c r="E552" s="54">
        <v>1205047.0</v>
      </c>
      <c r="F552" s="54">
        <v>994.0</v>
      </c>
      <c r="G552" s="54">
        <v>1203053.0</v>
      </c>
      <c r="H552" s="55">
        <v>989.0</v>
      </c>
      <c r="I552" s="54">
        <v>1213000.0</v>
      </c>
      <c r="J552" s="42">
        <v>981.0</v>
      </c>
      <c r="K552" s="42">
        <v>740648.0</v>
      </c>
      <c r="L552" s="32">
        <f t="shared" si="1"/>
        <v>-0.6079027356</v>
      </c>
      <c r="M552" s="32">
        <f t="shared" si="2"/>
        <v>-1.307847082</v>
      </c>
      <c r="N552" s="32">
        <f t="shared" si="3"/>
        <v>-0.8088978766</v>
      </c>
    </row>
    <row r="553">
      <c r="A553" s="42" t="s">
        <v>159</v>
      </c>
      <c r="B553" s="42">
        <v>34.0</v>
      </c>
      <c r="C553" s="42">
        <v>10.0</v>
      </c>
      <c r="D553" s="54">
        <v>988.0</v>
      </c>
      <c r="E553" s="54">
        <v>1200648.0</v>
      </c>
      <c r="F553" s="54">
        <v>994.0</v>
      </c>
      <c r="G553" s="54">
        <v>1082933.0</v>
      </c>
      <c r="H553" s="55">
        <v>989.0</v>
      </c>
      <c r="I553" s="54">
        <v>1213000.0</v>
      </c>
      <c r="J553" s="42">
        <v>981.0</v>
      </c>
      <c r="K553" s="42">
        <v>777321.0</v>
      </c>
      <c r="L553" s="32">
        <f t="shared" si="1"/>
        <v>-0.7085020243</v>
      </c>
      <c r="M553" s="32">
        <f t="shared" si="2"/>
        <v>-1.307847082</v>
      </c>
      <c r="N553" s="32">
        <f t="shared" si="3"/>
        <v>-0.8088978766</v>
      </c>
    </row>
    <row r="554">
      <c r="A554" s="42" t="s">
        <v>159</v>
      </c>
      <c r="B554" s="42">
        <v>38.0</v>
      </c>
      <c r="C554" s="42">
        <v>1.0</v>
      </c>
      <c r="D554" s="54">
        <v>990.0</v>
      </c>
      <c r="E554" s="54">
        <v>1204522.0</v>
      </c>
      <c r="F554" s="54">
        <v>995.0</v>
      </c>
      <c r="G554" s="54">
        <v>1203118.0</v>
      </c>
      <c r="H554" s="55">
        <v>991.0</v>
      </c>
      <c r="I554" s="54">
        <v>1213000.0</v>
      </c>
      <c r="J554" s="42">
        <v>984.0</v>
      </c>
      <c r="K554" s="42">
        <v>836584.0</v>
      </c>
      <c r="L554" s="32">
        <f t="shared" si="1"/>
        <v>-0.6060606061</v>
      </c>
      <c r="M554" s="32">
        <f t="shared" si="2"/>
        <v>-1.105527638</v>
      </c>
      <c r="N554" s="32">
        <f t="shared" si="3"/>
        <v>-0.7063572149</v>
      </c>
    </row>
    <row r="555">
      <c r="A555" s="42" t="s">
        <v>159</v>
      </c>
      <c r="B555" s="42">
        <v>38.0</v>
      </c>
      <c r="C555" s="42">
        <v>2.0</v>
      </c>
      <c r="D555" s="54">
        <v>988.0</v>
      </c>
      <c r="E555" s="54">
        <v>1201889.0</v>
      </c>
      <c r="F555" s="54">
        <v>995.0</v>
      </c>
      <c r="G555" s="54">
        <v>1203496.0</v>
      </c>
      <c r="H555" s="55">
        <v>990.0</v>
      </c>
      <c r="I555" s="54">
        <v>1213000.0</v>
      </c>
      <c r="J555" s="42">
        <v>983.0</v>
      </c>
      <c r="K555" s="42">
        <v>819418.0</v>
      </c>
      <c r="L555" s="32">
        <f t="shared" si="1"/>
        <v>-0.5060728745</v>
      </c>
      <c r="M555" s="32">
        <f t="shared" si="2"/>
        <v>-1.206030151</v>
      </c>
      <c r="N555" s="32">
        <f t="shared" si="3"/>
        <v>-0.7070707071</v>
      </c>
    </row>
    <row r="556">
      <c r="A556" s="42" t="s">
        <v>159</v>
      </c>
      <c r="B556" s="42">
        <v>38.0</v>
      </c>
      <c r="C556" s="42">
        <v>3.0</v>
      </c>
      <c r="D556" s="54">
        <v>990.0</v>
      </c>
      <c r="E556" s="54">
        <v>1200151.0</v>
      </c>
      <c r="F556" s="54">
        <v>994.0</v>
      </c>
      <c r="G556" s="54">
        <v>1203573.0</v>
      </c>
      <c r="H556" s="55">
        <v>991.0</v>
      </c>
      <c r="I556" s="54">
        <v>1213000.0</v>
      </c>
      <c r="J556" s="42">
        <v>985.0</v>
      </c>
      <c r="K556" s="42">
        <v>836898.0</v>
      </c>
      <c r="L556" s="32">
        <f t="shared" si="1"/>
        <v>-0.5050505051</v>
      </c>
      <c r="M556" s="32">
        <f t="shared" si="2"/>
        <v>-0.9054325956</v>
      </c>
      <c r="N556" s="32">
        <f t="shared" si="3"/>
        <v>-0.6054490414</v>
      </c>
    </row>
    <row r="557">
      <c r="A557" s="42" t="s">
        <v>159</v>
      </c>
      <c r="B557" s="42">
        <v>38.0</v>
      </c>
      <c r="C557" s="42">
        <v>4.0</v>
      </c>
      <c r="D557" s="54">
        <v>988.0</v>
      </c>
      <c r="E557" s="54">
        <v>1201023.0</v>
      </c>
      <c r="F557" s="54">
        <v>995.0</v>
      </c>
      <c r="G557" s="54">
        <v>1203451.0</v>
      </c>
      <c r="H557" s="55">
        <v>991.0</v>
      </c>
      <c r="I557" s="54">
        <v>1213000.0</v>
      </c>
      <c r="J557" s="42">
        <v>985.0</v>
      </c>
      <c r="K557" s="42">
        <v>838568.0</v>
      </c>
      <c r="L557" s="32">
        <f t="shared" si="1"/>
        <v>-0.3036437247</v>
      </c>
      <c r="M557" s="32">
        <f t="shared" si="2"/>
        <v>-1.005025126</v>
      </c>
      <c r="N557" s="32">
        <f t="shared" si="3"/>
        <v>-0.6054490414</v>
      </c>
    </row>
    <row r="558">
      <c r="A558" s="42" t="s">
        <v>159</v>
      </c>
      <c r="B558" s="42">
        <v>38.0</v>
      </c>
      <c r="C558" s="42">
        <v>5.0</v>
      </c>
      <c r="D558" s="54">
        <v>989.0</v>
      </c>
      <c r="E558" s="54">
        <v>1204128.0</v>
      </c>
      <c r="F558" s="54">
        <v>994.0</v>
      </c>
      <c r="G558" s="54">
        <v>1202622.0</v>
      </c>
      <c r="H558" s="55">
        <v>991.0</v>
      </c>
      <c r="I558" s="54">
        <v>1213000.0</v>
      </c>
      <c r="J558" s="42">
        <v>984.0</v>
      </c>
      <c r="K558" s="42">
        <v>807781.0</v>
      </c>
      <c r="L558" s="32">
        <f t="shared" si="1"/>
        <v>-0.5055611729</v>
      </c>
      <c r="M558" s="32">
        <f t="shared" si="2"/>
        <v>-1.006036217</v>
      </c>
      <c r="N558" s="32">
        <f t="shared" si="3"/>
        <v>-0.7063572149</v>
      </c>
    </row>
    <row r="559">
      <c r="A559" s="42" t="s">
        <v>159</v>
      </c>
      <c r="B559" s="42">
        <v>38.0</v>
      </c>
      <c r="C559" s="42">
        <v>6.0</v>
      </c>
      <c r="D559" s="54">
        <v>991.0</v>
      </c>
      <c r="E559" s="54">
        <v>1203357.0</v>
      </c>
      <c r="F559" s="54">
        <v>994.0</v>
      </c>
      <c r="G559" s="54">
        <v>1202971.0</v>
      </c>
      <c r="H559" s="55">
        <v>991.0</v>
      </c>
      <c r="I559" s="54">
        <v>1213000.0</v>
      </c>
      <c r="J559" s="42">
        <v>985.0</v>
      </c>
      <c r="K559" s="42">
        <v>803596.0</v>
      </c>
      <c r="L559" s="32">
        <f t="shared" si="1"/>
        <v>-0.6054490414</v>
      </c>
      <c r="M559" s="32">
        <f t="shared" si="2"/>
        <v>-0.9054325956</v>
      </c>
      <c r="N559" s="32">
        <f t="shared" si="3"/>
        <v>-0.6054490414</v>
      </c>
    </row>
    <row r="560">
      <c r="A560" s="42" t="s">
        <v>159</v>
      </c>
      <c r="B560" s="42">
        <v>38.0</v>
      </c>
      <c r="C560" s="42">
        <v>7.0</v>
      </c>
      <c r="D560" s="54">
        <v>990.0</v>
      </c>
      <c r="E560" s="54">
        <v>1205345.0</v>
      </c>
      <c r="F560" s="54">
        <v>995.0</v>
      </c>
      <c r="G560" s="54">
        <v>1203134.0</v>
      </c>
      <c r="H560" s="55">
        <v>991.0</v>
      </c>
      <c r="I560" s="54">
        <v>1213000.0</v>
      </c>
      <c r="J560" s="42">
        <v>985.0</v>
      </c>
      <c r="K560" s="42">
        <v>807162.0</v>
      </c>
      <c r="L560" s="32">
        <f t="shared" si="1"/>
        <v>-0.5050505051</v>
      </c>
      <c r="M560" s="32">
        <f t="shared" si="2"/>
        <v>-1.005025126</v>
      </c>
      <c r="N560" s="32">
        <f t="shared" si="3"/>
        <v>-0.6054490414</v>
      </c>
    </row>
    <row r="561">
      <c r="A561" s="42" t="s">
        <v>159</v>
      </c>
      <c r="B561" s="42">
        <v>38.0</v>
      </c>
      <c r="C561" s="42">
        <v>8.0</v>
      </c>
      <c r="D561" s="54">
        <v>989.0</v>
      </c>
      <c r="E561" s="54">
        <v>1200601.0</v>
      </c>
      <c r="F561" s="54">
        <v>995.0</v>
      </c>
      <c r="G561" s="54">
        <v>1203243.0</v>
      </c>
      <c r="H561" s="55">
        <v>991.0</v>
      </c>
      <c r="I561" s="54">
        <v>1213000.0</v>
      </c>
      <c r="J561" s="42">
        <v>984.0</v>
      </c>
      <c r="K561" s="42">
        <v>845299.0</v>
      </c>
      <c r="L561" s="32">
        <f t="shared" si="1"/>
        <v>-0.5055611729</v>
      </c>
      <c r="M561" s="32">
        <f t="shared" si="2"/>
        <v>-1.105527638</v>
      </c>
      <c r="N561" s="32">
        <f t="shared" si="3"/>
        <v>-0.7063572149</v>
      </c>
    </row>
    <row r="562">
      <c r="A562" s="42" t="s">
        <v>159</v>
      </c>
      <c r="B562" s="42">
        <v>38.0</v>
      </c>
      <c r="C562" s="42">
        <v>9.0</v>
      </c>
      <c r="D562" s="54">
        <v>989.0</v>
      </c>
      <c r="E562" s="54">
        <v>1204687.0</v>
      </c>
      <c r="F562" s="54">
        <v>995.0</v>
      </c>
      <c r="G562" s="54">
        <v>1083684.0</v>
      </c>
      <c r="H562" s="55">
        <v>991.0</v>
      </c>
      <c r="I562" s="54">
        <v>1213000.0</v>
      </c>
      <c r="J562" s="42">
        <v>984.0</v>
      </c>
      <c r="K562" s="42">
        <v>835188.0</v>
      </c>
      <c r="L562" s="32">
        <f t="shared" si="1"/>
        <v>-0.5055611729</v>
      </c>
      <c r="M562" s="32">
        <f t="shared" si="2"/>
        <v>-1.105527638</v>
      </c>
      <c r="N562" s="32">
        <f t="shared" si="3"/>
        <v>-0.7063572149</v>
      </c>
    </row>
    <row r="563">
      <c r="A563" s="42" t="s">
        <v>159</v>
      </c>
      <c r="B563" s="42">
        <v>38.0</v>
      </c>
      <c r="C563" s="42">
        <v>10.0</v>
      </c>
      <c r="D563" s="54">
        <v>990.0</v>
      </c>
      <c r="E563" s="54">
        <v>1201480.0</v>
      </c>
      <c r="F563" s="54">
        <v>995.0</v>
      </c>
      <c r="G563" s="54">
        <v>1202955.0</v>
      </c>
      <c r="H563" s="55">
        <v>991.0</v>
      </c>
      <c r="I563" s="54">
        <v>1213000.0</v>
      </c>
      <c r="J563" s="42">
        <v>984.0</v>
      </c>
      <c r="K563" s="42">
        <v>826861.0</v>
      </c>
      <c r="L563" s="32">
        <f t="shared" si="1"/>
        <v>-0.6060606061</v>
      </c>
      <c r="M563" s="32">
        <f t="shared" si="2"/>
        <v>-1.105527638</v>
      </c>
      <c r="N563" s="32">
        <f t="shared" si="3"/>
        <v>-0.7063572149</v>
      </c>
    </row>
    <row r="564">
      <c r="A564" s="42" t="s">
        <v>159</v>
      </c>
      <c r="B564" s="42">
        <v>40.0</v>
      </c>
      <c r="C564" s="42">
        <v>1.0</v>
      </c>
      <c r="D564" s="54">
        <v>991.0</v>
      </c>
      <c r="E564" s="54">
        <v>1200874.0</v>
      </c>
      <c r="F564" s="54">
        <v>996.0</v>
      </c>
      <c r="G564" s="54">
        <v>1082513.0</v>
      </c>
      <c r="H564" s="55">
        <v>992.0</v>
      </c>
      <c r="I564" s="54">
        <v>1213000.0</v>
      </c>
      <c r="J564" s="42">
        <v>986.0</v>
      </c>
      <c r="K564" s="42">
        <v>862846.0</v>
      </c>
      <c r="L564" s="32">
        <f t="shared" si="1"/>
        <v>-0.5045408678</v>
      </c>
      <c r="M564" s="32">
        <f t="shared" si="2"/>
        <v>-1.004016064</v>
      </c>
      <c r="N564" s="32">
        <f t="shared" si="3"/>
        <v>-0.6048387097</v>
      </c>
    </row>
    <row r="565">
      <c r="A565" s="42" t="s">
        <v>159</v>
      </c>
      <c r="B565" s="42">
        <v>40.0</v>
      </c>
      <c r="C565" s="42">
        <v>2.0</v>
      </c>
      <c r="D565" s="54">
        <v>990.0</v>
      </c>
      <c r="E565" s="54">
        <v>1204499.0</v>
      </c>
      <c r="F565" s="54">
        <v>995.0</v>
      </c>
      <c r="G565" s="54">
        <v>1203274.0</v>
      </c>
      <c r="H565" s="55">
        <v>992.0</v>
      </c>
      <c r="I565" s="54">
        <v>1213000.0</v>
      </c>
      <c r="J565" s="42">
        <v>986.0</v>
      </c>
      <c r="K565" s="42">
        <v>863644.0</v>
      </c>
      <c r="L565" s="32">
        <f t="shared" si="1"/>
        <v>-0.404040404</v>
      </c>
      <c r="M565" s="32">
        <f t="shared" si="2"/>
        <v>-0.9045226131</v>
      </c>
      <c r="N565" s="32">
        <f t="shared" si="3"/>
        <v>-0.6048387097</v>
      </c>
    </row>
    <row r="566">
      <c r="A566" s="42" t="s">
        <v>159</v>
      </c>
      <c r="B566" s="42">
        <v>40.0</v>
      </c>
      <c r="C566" s="42">
        <v>3.0</v>
      </c>
      <c r="D566" s="54">
        <v>990.0</v>
      </c>
      <c r="E566" s="54">
        <v>1200050.0</v>
      </c>
      <c r="F566" s="54">
        <v>995.0</v>
      </c>
      <c r="G566" s="54">
        <v>1202402.0</v>
      </c>
      <c r="H566" s="55">
        <v>991.0</v>
      </c>
      <c r="I566" s="54">
        <v>1213000.0</v>
      </c>
      <c r="J566" s="42">
        <v>986.0</v>
      </c>
      <c r="K566" s="42">
        <v>882056.0</v>
      </c>
      <c r="L566" s="32">
        <f t="shared" si="1"/>
        <v>-0.404040404</v>
      </c>
      <c r="M566" s="32">
        <f t="shared" si="2"/>
        <v>-0.9045226131</v>
      </c>
      <c r="N566" s="32">
        <f t="shared" si="3"/>
        <v>-0.5045408678</v>
      </c>
    </row>
    <row r="567">
      <c r="A567" s="42" t="s">
        <v>159</v>
      </c>
      <c r="B567" s="42">
        <v>40.0</v>
      </c>
      <c r="C567" s="42">
        <v>4.0</v>
      </c>
      <c r="D567" s="54">
        <v>991.0</v>
      </c>
      <c r="E567" s="54">
        <v>1203328.0</v>
      </c>
      <c r="F567" s="54">
        <v>995.0</v>
      </c>
      <c r="G567" s="54">
        <v>1202087.0</v>
      </c>
      <c r="H567" s="55">
        <v>992.0</v>
      </c>
      <c r="I567" s="54">
        <v>1215000.0</v>
      </c>
      <c r="J567" s="42">
        <v>987.0</v>
      </c>
      <c r="K567" s="42">
        <v>872806.0</v>
      </c>
      <c r="L567" s="32">
        <f t="shared" si="1"/>
        <v>-0.4036326942</v>
      </c>
      <c r="M567" s="32">
        <f t="shared" si="2"/>
        <v>-0.8040201005</v>
      </c>
      <c r="N567" s="32">
        <f t="shared" si="3"/>
        <v>-0.5040322581</v>
      </c>
    </row>
    <row r="568">
      <c r="A568" s="42" t="s">
        <v>159</v>
      </c>
      <c r="B568" s="42">
        <v>40.0</v>
      </c>
      <c r="C568" s="42">
        <v>5.0</v>
      </c>
      <c r="D568" s="54">
        <v>989.0</v>
      </c>
      <c r="E568" s="54">
        <v>1203904.0</v>
      </c>
      <c r="F568" s="54">
        <v>995.0</v>
      </c>
      <c r="G568" s="54">
        <v>1202195.0</v>
      </c>
      <c r="H568" s="55">
        <v>992.0</v>
      </c>
      <c r="I568" s="54">
        <v>1213000.0</v>
      </c>
      <c r="J568" s="42">
        <v>985.0</v>
      </c>
      <c r="K568" s="42">
        <v>895039.0</v>
      </c>
      <c r="L568" s="32">
        <f t="shared" si="1"/>
        <v>-0.4044489383</v>
      </c>
      <c r="M568" s="32">
        <f t="shared" si="2"/>
        <v>-1.005025126</v>
      </c>
      <c r="N568" s="32">
        <f t="shared" si="3"/>
        <v>-0.7056451613</v>
      </c>
    </row>
    <row r="569">
      <c r="A569" s="42" t="s">
        <v>159</v>
      </c>
      <c r="B569" s="42">
        <v>40.0</v>
      </c>
      <c r="C569" s="42">
        <v>6.0</v>
      </c>
      <c r="D569" s="54">
        <v>991.0</v>
      </c>
      <c r="E569" s="54">
        <v>1201917.0</v>
      </c>
      <c r="F569" s="54">
        <v>995.0</v>
      </c>
      <c r="G569" s="54">
        <v>1083173.0</v>
      </c>
      <c r="H569" s="55">
        <v>991.0</v>
      </c>
      <c r="I569" s="54">
        <v>1212000.0</v>
      </c>
      <c r="J569" s="42">
        <v>985.0</v>
      </c>
      <c r="K569" s="42">
        <v>883990.0</v>
      </c>
      <c r="L569" s="32">
        <f t="shared" si="1"/>
        <v>-0.6054490414</v>
      </c>
      <c r="M569" s="32">
        <f t="shared" si="2"/>
        <v>-1.005025126</v>
      </c>
      <c r="N569" s="32">
        <f t="shared" si="3"/>
        <v>-0.6054490414</v>
      </c>
    </row>
    <row r="570">
      <c r="A570" s="42" t="s">
        <v>159</v>
      </c>
      <c r="B570" s="42">
        <v>40.0</v>
      </c>
      <c r="C570" s="42">
        <v>7.0</v>
      </c>
      <c r="D570" s="54">
        <v>990.0</v>
      </c>
      <c r="E570" s="54">
        <v>1204377.0</v>
      </c>
      <c r="F570" s="54">
        <v>995.0</v>
      </c>
      <c r="G570" s="54">
        <v>1202780.0</v>
      </c>
      <c r="H570" s="55">
        <v>992.0</v>
      </c>
      <c r="I570" s="54">
        <v>1213000.0</v>
      </c>
      <c r="J570" s="42">
        <v>986.0</v>
      </c>
      <c r="K570" s="42">
        <v>850768.0</v>
      </c>
      <c r="L570" s="32">
        <f t="shared" si="1"/>
        <v>-0.404040404</v>
      </c>
      <c r="M570" s="32">
        <f t="shared" si="2"/>
        <v>-0.9045226131</v>
      </c>
      <c r="N570" s="32">
        <f t="shared" si="3"/>
        <v>-0.6048387097</v>
      </c>
    </row>
    <row r="571">
      <c r="A571" s="42" t="s">
        <v>159</v>
      </c>
      <c r="B571" s="42">
        <v>40.0</v>
      </c>
      <c r="C571" s="42">
        <v>8.0</v>
      </c>
      <c r="D571" s="54">
        <v>990.0</v>
      </c>
      <c r="E571" s="54">
        <v>1205405.0</v>
      </c>
      <c r="F571" s="54">
        <v>995.0</v>
      </c>
      <c r="G571" s="54">
        <v>1203231.0</v>
      </c>
      <c r="H571" s="55">
        <v>992.0</v>
      </c>
      <c r="I571" s="54">
        <v>1213000.0</v>
      </c>
      <c r="J571" s="42">
        <v>986.0</v>
      </c>
      <c r="K571" s="42">
        <v>854231.0</v>
      </c>
      <c r="L571" s="32">
        <f t="shared" si="1"/>
        <v>-0.404040404</v>
      </c>
      <c r="M571" s="32">
        <f t="shared" si="2"/>
        <v>-0.9045226131</v>
      </c>
      <c r="N571" s="32">
        <f t="shared" si="3"/>
        <v>-0.6048387097</v>
      </c>
    </row>
    <row r="572">
      <c r="A572" s="42" t="s">
        <v>159</v>
      </c>
      <c r="B572" s="42">
        <v>40.0</v>
      </c>
      <c r="C572" s="42">
        <v>9.0</v>
      </c>
      <c r="D572" s="54">
        <v>991.0</v>
      </c>
      <c r="E572" s="54">
        <v>1205054.0</v>
      </c>
      <c r="F572" s="54">
        <v>995.0</v>
      </c>
      <c r="G572" s="54">
        <v>1203408.0</v>
      </c>
      <c r="H572" s="55">
        <v>992.0</v>
      </c>
      <c r="I572" s="54">
        <v>1213000.0</v>
      </c>
      <c r="J572" s="42">
        <v>986.0</v>
      </c>
      <c r="K572" s="42">
        <v>854179.0</v>
      </c>
      <c r="L572" s="32">
        <f t="shared" si="1"/>
        <v>-0.5045408678</v>
      </c>
      <c r="M572" s="32">
        <f t="shared" si="2"/>
        <v>-0.9045226131</v>
      </c>
      <c r="N572" s="32">
        <f t="shared" si="3"/>
        <v>-0.6048387097</v>
      </c>
    </row>
    <row r="573">
      <c r="A573" s="42" t="s">
        <v>159</v>
      </c>
      <c r="B573" s="42">
        <v>40.0</v>
      </c>
      <c r="C573" s="42">
        <v>10.0</v>
      </c>
      <c r="D573" s="54">
        <v>989.0</v>
      </c>
      <c r="E573" s="54">
        <v>1204717.0</v>
      </c>
      <c r="F573" s="54">
        <v>995.0</v>
      </c>
      <c r="G573" s="54">
        <v>1082494.0</v>
      </c>
      <c r="H573" s="55">
        <v>992.0</v>
      </c>
      <c r="I573" s="54">
        <v>1214000.0</v>
      </c>
      <c r="J573" s="42">
        <v>986.0</v>
      </c>
      <c r="K573" s="42">
        <v>850847.0</v>
      </c>
      <c r="L573" s="32">
        <f t="shared" si="1"/>
        <v>-0.3033367037</v>
      </c>
      <c r="M573" s="32">
        <f t="shared" si="2"/>
        <v>-0.9045226131</v>
      </c>
      <c r="N573" s="32">
        <f t="shared" si="3"/>
        <v>-0.6048387097</v>
      </c>
    </row>
    <row r="574">
      <c r="A574" s="42" t="s">
        <v>159</v>
      </c>
      <c r="B574" s="42">
        <v>44.0</v>
      </c>
      <c r="C574" s="42">
        <v>1.0</v>
      </c>
      <c r="D574" s="54">
        <v>991.0</v>
      </c>
      <c r="E574" s="54">
        <v>1204615.0</v>
      </c>
      <c r="F574" s="54">
        <v>996.0</v>
      </c>
      <c r="G574" s="54">
        <v>1083028.0</v>
      </c>
      <c r="H574" s="55">
        <v>993.0</v>
      </c>
      <c r="I574" s="54">
        <v>1213000.0</v>
      </c>
      <c r="J574" s="42">
        <v>989.0</v>
      </c>
      <c r="K574" s="42">
        <v>920303.0</v>
      </c>
      <c r="L574" s="32">
        <f t="shared" si="1"/>
        <v>-0.2018163471</v>
      </c>
      <c r="M574" s="32">
        <f t="shared" si="2"/>
        <v>-0.702811245</v>
      </c>
      <c r="N574" s="32">
        <f t="shared" si="3"/>
        <v>-0.4028197382</v>
      </c>
    </row>
    <row r="575">
      <c r="A575" s="42" t="s">
        <v>159</v>
      </c>
      <c r="B575" s="42">
        <v>44.0</v>
      </c>
      <c r="C575" s="42">
        <v>2.0</v>
      </c>
      <c r="D575" s="54">
        <v>993.0</v>
      </c>
      <c r="E575" s="54">
        <v>1203156.0</v>
      </c>
      <c r="F575" s="54">
        <v>996.0</v>
      </c>
      <c r="G575" s="54">
        <v>1203343.0</v>
      </c>
      <c r="H575" s="55">
        <v>993.0</v>
      </c>
      <c r="I575" s="54">
        <v>1214000.0</v>
      </c>
      <c r="J575" s="42">
        <v>989.0</v>
      </c>
      <c r="K575" s="42">
        <v>924071.0</v>
      </c>
      <c r="L575" s="32">
        <f t="shared" si="1"/>
        <v>-0.4028197382</v>
      </c>
      <c r="M575" s="32">
        <f t="shared" si="2"/>
        <v>-0.702811245</v>
      </c>
      <c r="N575" s="32">
        <f t="shared" si="3"/>
        <v>-0.4028197382</v>
      </c>
    </row>
    <row r="576">
      <c r="A576" s="42" t="s">
        <v>159</v>
      </c>
      <c r="B576" s="42">
        <v>44.0</v>
      </c>
      <c r="C576" s="42">
        <v>3.0</v>
      </c>
      <c r="D576" s="54">
        <v>992.0</v>
      </c>
      <c r="E576" s="54">
        <v>1205468.0</v>
      </c>
      <c r="F576" s="54">
        <v>995.0</v>
      </c>
      <c r="G576" s="54">
        <v>1203413.0</v>
      </c>
      <c r="H576" s="55">
        <v>993.0</v>
      </c>
      <c r="I576" s="54">
        <v>1213000.0</v>
      </c>
      <c r="J576" s="42">
        <v>989.0</v>
      </c>
      <c r="K576" s="42">
        <v>934812.0</v>
      </c>
      <c r="L576" s="32">
        <f t="shared" si="1"/>
        <v>-0.3024193548</v>
      </c>
      <c r="M576" s="32">
        <f t="shared" si="2"/>
        <v>-0.6030150754</v>
      </c>
      <c r="N576" s="32">
        <f t="shared" si="3"/>
        <v>-0.4028197382</v>
      </c>
    </row>
    <row r="577">
      <c r="A577" s="42" t="s">
        <v>159</v>
      </c>
      <c r="B577" s="42">
        <v>44.0</v>
      </c>
      <c r="C577" s="42">
        <v>4.0</v>
      </c>
      <c r="D577" s="54">
        <v>990.0</v>
      </c>
      <c r="E577" s="54">
        <v>1204393.0</v>
      </c>
      <c r="F577" s="54">
        <v>996.0</v>
      </c>
      <c r="G577" s="54">
        <v>1203646.0</v>
      </c>
      <c r="H577" s="55">
        <v>993.0</v>
      </c>
      <c r="I577" s="54">
        <v>1213000.0</v>
      </c>
      <c r="J577" s="42">
        <v>988.0</v>
      </c>
      <c r="K577" s="42">
        <v>951473.0</v>
      </c>
      <c r="L577" s="32">
        <f t="shared" si="1"/>
        <v>-0.202020202</v>
      </c>
      <c r="M577" s="32">
        <f t="shared" si="2"/>
        <v>-0.8032128514</v>
      </c>
      <c r="N577" s="32">
        <f t="shared" si="3"/>
        <v>-0.5035246727</v>
      </c>
    </row>
    <row r="578">
      <c r="A578" s="42" t="s">
        <v>159</v>
      </c>
      <c r="B578" s="42">
        <v>44.0</v>
      </c>
      <c r="C578" s="42">
        <v>5.0</v>
      </c>
      <c r="D578" s="54">
        <v>992.0</v>
      </c>
      <c r="E578" s="54">
        <v>1201780.0</v>
      </c>
      <c r="F578" s="54">
        <v>996.0</v>
      </c>
      <c r="G578" s="54">
        <v>1203318.0</v>
      </c>
      <c r="H578" s="55">
        <v>993.0</v>
      </c>
      <c r="I578" s="54">
        <v>1213000.0</v>
      </c>
      <c r="J578" s="42">
        <v>988.0</v>
      </c>
      <c r="K578" s="42">
        <v>930760.0</v>
      </c>
      <c r="L578" s="32">
        <f t="shared" si="1"/>
        <v>-0.4032258065</v>
      </c>
      <c r="M578" s="32">
        <f t="shared" si="2"/>
        <v>-0.8032128514</v>
      </c>
      <c r="N578" s="32">
        <f t="shared" si="3"/>
        <v>-0.5035246727</v>
      </c>
    </row>
    <row r="579">
      <c r="A579" s="42" t="s">
        <v>159</v>
      </c>
      <c r="B579" s="42">
        <v>44.0</v>
      </c>
      <c r="C579" s="42">
        <v>6.0</v>
      </c>
      <c r="D579" s="54">
        <v>991.0</v>
      </c>
      <c r="E579" s="54">
        <v>1201220.0</v>
      </c>
      <c r="F579" s="54">
        <v>996.0</v>
      </c>
      <c r="G579" s="54">
        <v>1202080.0</v>
      </c>
      <c r="H579" s="55">
        <v>993.0</v>
      </c>
      <c r="I579" s="54">
        <v>1214000.0</v>
      </c>
      <c r="J579" s="42">
        <v>989.0</v>
      </c>
      <c r="K579" s="42">
        <v>942182.0</v>
      </c>
      <c r="L579" s="32">
        <f t="shared" si="1"/>
        <v>-0.2018163471</v>
      </c>
      <c r="M579" s="32">
        <f t="shared" si="2"/>
        <v>-0.702811245</v>
      </c>
      <c r="N579" s="32">
        <f t="shared" si="3"/>
        <v>-0.4028197382</v>
      </c>
    </row>
    <row r="580">
      <c r="A580" s="42" t="s">
        <v>159</v>
      </c>
      <c r="B580" s="42">
        <v>44.0</v>
      </c>
      <c r="C580" s="42">
        <v>7.0</v>
      </c>
      <c r="D580" s="54">
        <v>991.0</v>
      </c>
      <c r="E580" s="54">
        <v>1200111.0</v>
      </c>
      <c r="F580" s="54">
        <v>996.0</v>
      </c>
      <c r="G580" s="54">
        <v>1203125.0</v>
      </c>
      <c r="H580" s="55">
        <v>993.0</v>
      </c>
      <c r="I580" s="54">
        <v>1213000.0</v>
      </c>
      <c r="J580" s="42">
        <v>988.0</v>
      </c>
      <c r="K580" s="42">
        <v>941311.0</v>
      </c>
      <c r="L580" s="32">
        <f t="shared" si="1"/>
        <v>-0.3027245207</v>
      </c>
      <c r="M580" s="32">
        <f t="shared" si="2"/>
        <v>-0.8032128514</v>
      </c>
      <c r="N580" s="32">
        <f t="shared" si="3"/>
        <v>-0.5035246727</v>
      </c>
    </row>
    <row r="581">
      <c r="A581" s="42" t="s">
        <v>159</v>
      </c>
      <c r="B581" s="42">
        <v>44.0</v>
      </c>
      <c r="C581" s="42">
        <v>8.0</v>
      </c>
      <c r="D581" s="54">
        <v>993.0</v>
      </c>
      <c r="E581" s="54">
        <v>1203166.0</v>
      </c>
      <c r="F581" s="54">
        <v>996.0</v>
      </c>
      <c r="G581" s="54">
        <v>1202816.0</v>
      </c>
      <c r="H581" s="55">
        <v>993.0</v>
      </c>
      <c r="I581" s="54">
        <v>1213000.0</v>
      </c>
      <c r="J581" s="42">
        <v>988.0</v>
      </c>
      <c r="K581" s="42">
        <v>911612.0</v>
      </c>
      <c r="L581" s="32">
        <f t="shared" si="1"/>
        <v>-0.5035246727</v>
      </c>
      <c r="M581" s="32">
        <f t="shared" si="2"/>
        <v>-0.8032128514</v>
      </c>
      <c r="N581" s="32">
        <f t="shared" si="3"/>
        <v>-0.5035246727</v>
      </c>
    </row>
    <row r="582">
      <c r="A582" s="42" t="s">
        <v>159</v>
      </c>
      <c r="B582" s="42">
        <v>44.0</v>
      </c>
      <c r="C582" s="42">
        <v>9.0</v>
      </c>
      <c r="D582" s="54">
        <v>990.0</v>
      </c>
      <c r="E582" s="54">
        <v>1205174.0</v>
      </c>
      <c r="F582" s="54">
        <v>995.0</v>
      </c>
      <c r="G582" s="54">
        <v>1202941.0</v>
      </c>
      <c r="H582" s="55">
        <v>993.0</v>
      </c>
      <c r="I582" s="54">
        <v>1213000.0</v>
      </c>
      <c r="J582" s="42">
        <v>989.0</v>
      </c>
      <c r="K582" s="42">
        <v>935342.0</v>
      </c>
      <c r="L582" s="32">
        <f t="shared" si="1"/>
        <v>-0.101010101</v>
      </c>
      <c r="M582" s="32">
        <f t="shared" si="2"/>
        <v>-0.6030150754</v>
      </c>
      <c r="N582" s="32">
        <f t="shared" si="3"/>
        <v>-0.4028197382</v>
      </c>
    </row>
    <row r="583">
      <c r="A583" s="42" t="s">
        <v>159</v>
      </c>
      <c r="B583" s="42">
        <v>44.0</v>
      </c>
      <c r="C583" s="42">
        <v>10.0</v>
      </c>
      <c r="D583" s="54">
        <v>992.0</v>
      </c>
      <c r="E583" s="54">
        <v>1200880.0</v>
      </c>
      <c r="F583" s="54">
        <v>996.0</v>
      </c>
      <c r="G583" s="54">
        <v>1203333.0</v>
      </c>
      <c r="H583" s="55">
        <v>993.0</v>
      </c>
      <c r="I583" s="54">
        <v>1213000.0</v>
      </c>
      <c r="J583" s="42">
        <v>989.0</v>
      </c>
      <c r="K583" s="42">
        <v>935965.0</v>
      </c>
      <c r="L583" s="32">
        <f t="shared" si="1"/>
        <v>-0.3024193548</v>
      </c>
      <c r="M583" s="32">
        <f t="shared" si="2"/>
        <v>-0.702811245</v>
      </c>
      <c r="N583" s="32">
        <f t="shared" si="3"/>
        <v>-0.4028197382</v>
      </c>
    </row>
    <row r="584">
      <c r="A584" s="42" t="s">
        <v>159</v>
      </c>
      <c r="B584" s="42">
        <v>48.0</v>
      </c>
      <c r="C584" s="42">
        <v>1.0</v>
      </c>
      <c r="D584" s="54">
        <v>995.0</v>
      </c>
      <c r="E584" s="54">
        <v>1200728.0</v>
      </c>
      <c r="F584" s="54">
        <v>996.0</v>
      </c>
      <c r="G584" s="54">
        <v>1203222.0</v>
      </c>
      <c r="H584" s="55">
        <v>994.0</v>
      </c>
      <c r="I584" s="54">
        <v>1213000.0</v>
      </c>
      <c r="J584" s="42">
        <v>990.0</v>
      </c>
      <c r="K584" s="42">
        <v>1007973.0</v>
      </c>
      <c r="L584" s="32">
        <f t="shared" si="1"/>
        <v>-0.5025125628</v>
      </c>
      <c r="M584" s="32">
        <f t="shared" si="2"/>
        <v>-0.6024096386</v>
      </c>
      <c r="N584" s="32">
        <f t="shared" si="3"/>
        <v>-0.4024144869</v>
      </c>
    </row>
    <row r="585">
      <c r="A585" s="42" t="s">
        <v>159</v>
      </c>
      <c r="B585" s="42">
        <v>48.0</v>
      </c>
      <c r="C585" s="42">
        <v>2.0</v>
      </c>
      <c r="D585" s="54">
        <v>993.0</v>
      </c>
      <c r="E585" s="54">
        <v>1203227.0</v>
      </c>
      <c r="F585" s="54">
        <v>996.0</v>
      </c>
      <c r="G585" s="54">
        <v>1202661.0</v>
      </c>
      <c r="H585" s="55">
        <v>994.0</v>
      </c>
      <c r="I585" s="54">
        <v>1213000.0</v>
      </c>
      <c r="J585" s="42">
        <v>990.0</v>
      </c>
      <c r="K585" s="42">
        <v>1028378.0</v>
      </c>
      <c r="L585" s="32">
        <f t="shared" si="1"/>
        <v>-0.3021148036</v>
      </c>
      <c r="M585" s="32">
        <f t="shared" si="2"/>
        <v>-0.6024096386</v>
      </c>
      <c r="N585" s="32">
        <f t="shared" si="3"/>
        <v>-0.4024144869</v>
      </c>
    </row>
    <row r="586">
      <c r="A586" s="42" t="s">
        <v>159</v>
      </c>
      <c r="B586" s="42">
        <v>48.0</v>
      </c>
      <c r="C586" s="42">
        <v>3.0</v>
      </c>
      <c r="D586" s="54">
        <v>993.0</v>
      </c>
      <c r="E586" s="54">
        <v>1201402.0</v>
      </c>
      <c r="F586" s="54">
        <v>997.0</v>
      </c>
      <c r="G586" s="54">
        <v>1202825.0</v>
      </c>
      <c r="H586" s="55">
        <v>994.0</v>
      </c>
      <c r="I586" s="54">
        <v>1214000.0</v>
      </c>
      <c r="J586" s="42">
        <v>991.0</v>
      </c>
      <c r="K586" s="42">
        <v>992983.0</v>
      </c>
      <c r="L586" s="32">
        <f t="shared" si="1"/>
        <v>-0.2014098691</v>
      </c>
      <c r="M586" s="32">
        <f t="shared" si="2"/>
        <v>-0.6018054162</v>
      </c>
      <c r="N586" s="32">
        <f t="shared" si="3"/>
        <v>-0.3018108652</v>
      </c>
    </row>
    <row r="587">
      <c r="A587" s="42" t="s">
        <v>159</v>
      </c>
      <c r="B587" s="42">
        <v>48.0</v>
      </c>
      <c r="C587" s="42">
        <v>4.0</v>
      </c>
      <c r="D587" s="54">
        <v>992.0</v>
      </c>
      <c r="E587" s="54">
        <v>1200938.0</v>
      </c>
      <c r="F587" s="54">
        <v>996.0</v>
      </c>
      <c r="G587" s="54">
        <v>1203930.0</v>
      </c>
      <c r="H587" s="55">
        <v>994.0</v>
      </c>
      <c r="I587" s="54">
        <v>1213000.0</v>
      </c>
      <c r="J587" s="42">
        <v>991.0</v>
      </c>
      <c r="K587" s="42">
        <v>994297.0</v>
      </c>
      <c r="L587" s="32">
        <f t="shared" si="1"/>
        <v>-0.1008064516</v>
      </c>
      <c r="M587" s="32">
        <f t="shared" si="2"/>
        <v>-0.5020080321</v>
      </c>
      <c r="N587" s="32">
        <f t="shared" si="3"/>
        <v>-0.3018108652</v>
      </c>
    </row>
    <row r="588">
      <c r="A588" s="42" t="s">
        <v>159</v>
      </c>
      <c r="B588" s="42">
        <v>48.0</v>
      </c>
      <c r="C588" s="42">
        <v>5.0</v>
      </c>
      <c r="D588" s="54">
        <v>994.0</v>
      </c>
      <c r="E588" s="54">
        <v>1200252.0</v>
      </c>
      <c r="F588" s="54">
        <v>996.0</v>
      </c>
      <c r="G588" s="54">
        <v>1203213.0</v>
      </c>
      <c r="H588" s="55">
        <v>994.0</v>
      </c>
      <c r="I588" s="54">
        <v>1213000.0</v>
      </c>
      <c r="J588" s="42">
        <v>990.0</v>
      </c>
      <c r="K588" s="42">
        <v>1016680.0</v>
      </c>
      <c r="L588" s="32">
        <f t="shared" si="1"/>
        <v>-0.4024144869</v>
      </c>
      <c r="M588" s="32">
        <f t="shared" si="2"/>
        <v>-0.6024096386</v>
      </c>
      <c r="N588" s="32">
        <f t="shared" si="3"/>
        <v>-0.4024144869</v>
      </c>
    </row>
    <row r="589">
      <c r="A589" s="42" t="s">
        <v>159</v>
      </c>
      <c r="B589" s="42">
        <v>48.0</v>
      </c>
      <c r="C589" s="42">
        <v>6.0</v>
      </c>
      <c r="D589" s="54">
        <v>994.0</v>
      </c>
      <c r="E589" s="54">
        <v>1201773.0</v>
      </c>
      <c r="F589" s="54">
        <v>997.0</v>
      </c>
      <c r="G589" s="54">
        <v>1203575.0</v>
      </c>
      <c r="H589" s="55">
        <v>994.0</v>
      </c>
      <c r="I589" s="54">
        <v>1214000.0</v>
      </c>
      <c r="J589" s="42">
        <v>991.0</v>
      </c>
      <c r="K589" s="42">
        <v>1018463.0</v>
      </c>
      <c r="L589" s="32">
        <f t="shared" si="1"/>
        <v>-0.3018108652</v>
      </c>
      <c r="M589" s="32">
        <f t="shared" si="2"/>
        <v>-0.6018054162</v>
      </c>
      <c r="N589" s="32">
        <f t="shared" si="3"/>
        <v>-0.3018108652</v>
      </c>
    </row>
    <row r="590">
      <c r="A590" s="42" t="s">
        <v>159</v>
      </c>
      <c r="B590" s="42">
        <v>48.0</v>
      </c>
      <c r="C590" s="42">
        <v>7.0</v>
      </c>
      <c r="D590" s="54">
        <v>993.0</v>
      </c>
      <c r="E590" s="54">
        <v>1200341.0</v>
      </c>
      <c r="F590" s="54">
        <v>996.0</v>
      </c>
      <c r="G590" s="54">
        <v>1203621.0</v>
      </c>
      <c r="H590" s="55">
        <v>994.0</v>
      </c>
      <c r="I590" s="54">
        <v>1213000.0</v>
      </c>
      <c r="J590" s="42">
        <v>990.0</v>
      </c>
      <c r="K590" s="42">
        <v>997244.0</v>
      </c>
      <c r="L590" s="32">
        <f t="shared" si="1"/>
        <v>-0.3021148036</v>
      </c>
      <c r="M590" s="32">
        <f t="shared" si="2"/>
        <v>-0.6024096386</v>
      </c>
      <c r="N590" s="32">
        <f t="shared" si="3"/>
        <v>-0.4024144869</v>
      </c>
    </row>
    <row r="591">
      <c r="A591" s="42" t="s">
        <v>159</v>
      </c>
      <c r="B591" s="42">
        <v>48.0</v>
      </c>
      <c r="C591" s="42">
        <v>8.0</v>
      </c>
      <c r="D591" s="54">
        <v>993.0</v>
      </c>
      <c r="E591" s="54">
        <v>1201754.0</v>
      </c>
      <c r="F591" s="54">
        <v>997.0</v>
      </c>
      <c r="G591" s="54">
        <v>1082523.0</v>
      </c>
      <c r="H591" s="55">
        <v>994.0</v>
      </c>
      <c r="I591" s="54">
        <v>1213000.0</v>
      </c>
      <c r="J591" s="42">
        <v>991.0</v>
      </c>
      <c r="K591" s="42">
        <v>1011361.0</v>
      </c>
      <c r="L591" s="32">
        <f t="shared" si="1"/>
        <v>-0.2014098691</v>
      </c>
      <c r="M591" s="32">
        <f t="shared" si="2"/>
        <v>-0.6018054162</v>
      </c>
      <c r="N591" s="32">
        <f t="shared" si="3"/>
        <v>-0.3018108652</v>
      </c>
    </row>
    <row r="592">
      <c r="A592" s="42" t="s">
        <v>159</v>
      </c>
      <c r="B592" s="42">
        <v>48.0</v>
      </c>
      <c r="C592" s="42">
        <v>9.0</v>
      </c>
      <c r="D592" s="54">
        <v>995.0</v>
      </c>
      <c r="E592" s="54">
        <v>1200872.0</v>
      </c>
      <c r="F592" s="54">
        <v>996.0</v>
      </c>
      <c r="G592" s="54">
        <v>1202654.0</v>
      </c>
      <c r="H592" s="55">
        <v>994.0</v>
      </c>
      <c r="I592" s="54">
        <v>1214000.0</v>
      </c>
      <c r="J592" s="42">
        <v>991.0</v>
      </c>
      <c r="K592" s="42">
        <v>1006066.0</v>
      </c>
      <c r="L592" s="32">
        <f t="shared" si="1"/>
        <v>-0.4020100503</v>
      </c>
      <c r="M592" s="32">
        <f t="shared" si="2"/>
        <v>-0.5020080321</v>
      </c>
      <c r="N592" s="32">
        <f t="shared" si="3"/>
        <v>-0.3018108652</v>
      </c>
    </row>
    <row r="593">
      <c r="A593" s="42" t="s">
        <v>159</v>
      </c>
      <c r="B593" s="42">
        <v>48.0</v>
      </c>
      <c r="C593" s="42">
        <v>10.0</v>
      </c>
      <c r="D593" s="54">
        <v>994.0</v>
      </c>
      <c r="E593" s="54">
        <v>1201533.0</v>
      </c>
      <c r="F593" s="54">
        <v>997.0</v>
      </c>
      <c r="G593" s="54">
        <v>1082836.0</v>
      </c>
      <c r="H593" s="55">
        <v>994.0</v>
      </c>
      <c r="I593" s="54">
        <v>1213000.0</v>
      </c>
      <c r="J593" s="42">
        <v>991.0</v>
      </c>
      <c r="K593" s="42">
        <v>998470.0</v>
      </c>
      <c r="L593" s="32">
        <f t="shared" si="1"/>
        <v>-0.3018108652</v>
      </c>
      <c r="M593" s="32">
        <f t="shared" si="2"/>
        <v>-0.6018054162</v>
      </c>
      <c r="N593" s="32">
        <f t="shared" si="3"/>
        <v>-0.3018108652</v>
      </c>
    </row>
    <row r="594">
      <c r="A594" s="42" t="s">
        <v>159</v>
      </c>
      <c r="B594" s="42">
        <v>50.0</v>
      </c>
      <c r="C594" s="42">
        <v>1.0</v>
      </c>
      <c r="D594" s="54">
        <v>994.0</v>
      </c>
      <c r="E594" s="54">
        <v>1204354.0</v>
      </c>
      <c r="F594" s="54">
        <v>997.0</v>
      </c>
      <c r="G594" s="54">
        <v>1083197.0</v>
      </c>
      <c r="H594" s="55">
        <v>994.0</v>
      </c>
      <c r="I594" s="54">
        <v>1213000.0</v>
      </c>
      <c r="J594" s="42">
        <v>991.0</v>
      </c>
      <c r="K594" s="42">
        <v>1032857.0</v>
      </c>
      <c r="L594" s="32">
        <f t="shared" si="1"/>
        <v>-0.3018108652</v>
      </c>
      <c r="M594" s="32">
        <f t="shared" si="2"/>
        <v>-0.6018054162</v>
      </c>
      <c r="N594" s="32">
        <f t="shared" si="3"/>
        <v>-0.3018108652</v>
      </c>
    </row>
    <row r="595">
      <c r="A595" s="42" t="s">
        <v>159</v>
      </c>
      <c r="B595" s="42">
        <v>50.0</v>
      </c>
      <c r="C595" s="42">
        <v>2.0</v>
      </c>
      <c r="D595" s="54">
        <v>994.0</v>
      </c>
      <c r="E595" s="54">
        <v>1202531.0</v>
      </c>
      <c r="F595" s="54">
        <v>997.0</v>
      </c>
      <c r="G595" s="54">
        <v>1082358.0</v>
      </c>
      <c r="H595" s="55">
        <v>995.0</v>
      </c>
      <c r="I595" s="54">
        <v>1213000.0</v>
      </c>
      <c r="J595" s="42">
        <v>991.0</v>
      </c>
      <c r="K595" s="42">
        <v>1052758.0</v>
      </c>
      <c r="L595" s="32">
        <f t="shared" si="1"/>
        <v>-0.3018108652</v>
      </c>
      <c r="M595" s="32">
        <f t="shared" si="2"/>
        <v>-0.6018054162</v>
      </c>
      <c r="N595" s="32">
        <f t="shared" si="3"/>
        <v>-0.4020100503</v>
      </c>
    </row>
    <row r="596">
      <c r="A596" s="42" t="s">
        <v>159</v>
      </c>
      <c r="B596" s="42">
        <v>50.0</v>
      </c>
      <c r="C596" s="42">
        <v>3.0</v>
      </c>
      <c r="D596" s="54">
        <v>995.0</v>
      </c>
      <c r="E596" s="54">
        <v>1200527.0</v>
      </c>
      <c r="F596" s="54">
        <v>997.0</v>
      </c>
      <c r="G596" s="54">
        <v>1202941.0</v>
      </c>
      <c r="H596" s="55">
        <v>994.0</v>
      </c>
      <c r="I596" s="54">
        <v>1213000.0</v>
      </c>
      <c r="J596" s="42">
        <v>992.0</v>
      </c>
      <c r="K596" s="42">
        <v>1047884.0</v>
      </c>
      <c r="L596" s="32">
        <f t="shared" si="1"/>
        <v>-0.3015075377</v>
      </c>
      <c r="M596" s="32">
        <f t="shared" si="2"/>
        <v>-0.5015045135</v>
      </c>
      <c r="N596" s="32">
        <f t="shared" si="3"/>
        <v>-0.2012072435</v>
      </c>
    </row>
    <row r="597">
      <c r="A597" s="42" t="s">
        <v>159</v>
      </c>
      <c r="B597" s="42">
        <v>50.0</v>
      </c>
      <c r="C597" s="42">
        <v>4.0</v>
      </c>
      <c r="D597" s="54">
        <v>994.0</v>
      </c>
      <c r="E597" s="54">
        <v>1202320.0</v>
      </c>
      <c r="F597" s="54">
        <v>997.0</v>
      </c>
      <c r="G597" s="54">
        <v>1202515.0</v>
      </c>
      <c r="H597" s="55">
        <v>995.0</v>
      </c>
      <c r="I597" s="54">
        <v>1213000.0</v>
      </c>
      <c r="J597" s="42">
        <v>991.0</v>
      </c>
      <c r="K597" s="42">
        <v>1040071.0</v>
      </c>
      <c r="L597" s="32">
        <f t="shared" si="1"/>
        <v>-0.3018108652</v>
      </c>
      <c r="M597" s="32">
        <f t="shared" si="2"/>
        <v>-0.6018054162</v>
      </c>
      <c r="N597" s="32">
        <f t="shared" si="3"/>
        <v>-0.4020100503</v>
      </c>
    </row>
    <row r="598">
      <c r="A598" s="42" t="s">
        <v>159</v>
      </c>
      <c r="B598" s="42">
        <v>50.0</v>
      </c>
      <c r="C598" s="42">
        <v>5.0</v>
      </c>
      <c r="D598" s="54">
        <v>994.0</v>
      </c>
      <c r="E598" s="54">
        <v>1199902.0</v>
      </c>
      <c r="F598" s="54">
        <v>997.0</v>
      </c>
      <c r="G598" s="54">
        <v>1203653.0</v>
      </c>
      <c r="H598" s="55">
        <v>995.0</v>
      </c>
      <c r="I598" s="54">
        <v>1213000.0</v>
      </c>
      <c r="J598" s="42">
        <v>992.0</v>
      </c>
      <c r="K598" s="42">
        <v>1058214.0</v>
      </c>
      <c r="L598" s="32">
        <f t="shared" si="1"/>
        <v>-0.2012072435</v>
      </c>
      <c r="M598" s="32">
        <f t="shared" si="2"/>
        <v>-0.5015045135</v>
      </c>
      <c r="N598" s="32">
        <f t="shared" si="3"/>
        <v>-0.3015075377</v>
      </c>
    </row>
    <row r="599">
      <c r="A599" s="42" t="s">
        <v>159</v>
      </c>
      <c r="B599" s="42">
        <v>50.0</v>
      </c>
      <c r="C599" s="42">
        <v>6.0</v>
      </c>
      <c r="D599" s="54">
        <v>993.0</v>
      </c>
      <c r="E599" s="54">
        <v>1202163.0</v>
      </c>
      <c r="F599" s="54">
        <v>997.0</v>
      </c>
      <c r="G599" s="54">
        <v>1203072.0</v>
      </c>
      <c r="H599" s="55">
        <v>995.0</v>
      </c>
      <c r="I599" s="54">
        <v>1213000.0</v>
      </c>
      <c r="J599" s="42">
        <v>991.0</v>
      </c>
      <c r="K599" s="42">
        <v>1016656.0</v>
      </c>
      <c r="L599" s="32">
        <f t="shared" si="1"/>
        <v>-0.2014098691</v>
      </c>
      <c r="M599" s="32">
        <f t="shared" si="2"/>
        <v>-0.6018054162</v>
      </c>
      <c r="N599" s="32">
        <f t="shared" si="3"/>
        <v>-0.4020100503</v>
      </c>
    </row>
    <row r="600">
      <c r="A600" s="42" t="s">
        <v>159</v>
      </c>
      <c r="B600" s="42">
        <v>50.0</v>
      </c>
      <c r="C600" s="42">
        <v>7.0</v>
      </c>
      <c r="D600" s="54">
        <v>993.0</v>
      </c>
      <c r="E600" s="54">
        <v>1204716.0</v>
      </c>
      <c r="F600" s="54">
        <v>997.0</v>
      </c>
      <c r="G600" s="54">
        <v>1203764.0</v>
      </c>
      <c r="H600" s="55">
        <v>995.0</v>
      </c>
      <c r="I600" s="54">
        <v>1213000.0</v>
      </c>
      <c r="J600" s="42">
        <v>991.0</v>
      </c>
      <c r="K600" s="42">
        <v>1033267.0</v>
      </c>
      <c r="L600" s="32">
        <f t="shared" si="1"/>
        <v>-0.2014098691</v>
      </c>
      <c r="M600" s="32">
        <f t="shared" si="2"/>
        <v>-0.6018054162</v>
      </c>
      <c r="N600" s="32">
        <f t="shared" si="3"/>
        <v>-0.4020100503</v>
      </c>
    </row>
    <row r="601">
      <c r="A601" s="42" t="s">
        <v>159</v>
      </c>
      <c r="B601" s="42">
        <v>50.0</v>
      </c>
      <c r="C601" s="42">
        <v>8.0</v>
      </c>
      <c r="D601" s="54">
        <v>995.0</v>
      </c>
      <c r="E601" s="54">
        <v>1202009.0</v>
      </c>
      <c r="F601" s="54">
        <v>997.0</v>
      </c>
      <c r="G601" s="54">
        <v>1203346.0</v>
      </c>
      <c r="H601" s="55">
        <v>994.0</v>
      </c>
      <c r="I601" s="54">
        <v>1213000.0</v>
      </c>
      <c r="J601" s="42">
        <v>991.0</v>
      </c>
      <c r="K601" s="42">
        <v>1082032.0</v>
      </c>
      <c r="L601" s="32">
        <f t="shared" si="1"/>
        <v>-0.4020100503</v>
      </c>
      <c r="M601" s="32">
        <f t="shared" si="2"/>
        <v>-0.6018054162</v>
      </c>
      <c r="N601" s="32">
        <f t="shared" si="3"/>
        <v>-0.3018108652</v>
      </c>
    </row>
    <row r="602">
      <c r="A602" s="42" t="s">
        <v>159</v>
      </c>
      <c r="B602" s="42">
        <v>50.0</v>
      </c>
      <c r="C602" s="42">
        <v>9.0</v>
      </c>
      <c r="D602" s="54">
        <v>994.0</v>
      </c>
      <c r="E602" s="54">
        <v>1203378.0</v>
      </c>
      <c r="F602" s="54">
        <v>996.0</v>
      </c>
      <c r="G602" s="54">
        <v>1203131.0</v>
      </c>
      <c r="H602" s="55">
        <v>995.0</v>
      </c>
      <c r="I602" s="54">
        <v>1213000.0</v>
      </c>
      <c r="J602" s="42">
        <v>992.0</v>
      </c>
      <c r="K602" s="42">
        <v>1080283.0</v>
      </c>
      <c r="L602" s="32">
        <f t="shared" si="1"/>
        <v>-0.2012072435</v>
      </c>
      <c r="M602" s="32">
        <f t="shared" si="2"/>
        <v>-0.4016064257</v>
      </c>
      <c r="N602" s="32">
        <f t="shared" si="3"/>
        <v>-0.3015075377</v>
      </c>
    </row>
    <row r="603">
      <c r="A603" s="42" t="s">
        <v>159</v>
      </c>
      <c r="B603" s="42">
        <v>50.0</v>
      </c>
      <c r="C603" s="42">
        <v>10.0</v>
      </c>
      <c r="D603" s="54">
        <v>995.0</v>
      </c>
      <c r="E603" s="54">
        <v>1201930.0</v>
      </c>
      <c r="F603" s="54">
        <v>997.0</v>
      </c>
      <c r="G603" s="54">
        <v>1083396.0</v>
      </c>
      <c r="H603" s="55">
        <v>995.0</v>
      </c>
      <c r="I603" s="54">
        <v>1213000.0</v>
      </c>
      <c r="J603" s="42">
        <v>991.0</v>
      </c>
      <c r="K603" s="42">
        <v>1047430.0</v>
      </c>
      <c r="L603" s="32">
        <f t="shared" si="1"/>
        <v>-0.4020100503</v>
      </c>
      <c r="M603" s="32">
        <f t="shared" si="2"/>
        <v>-0.6018054162</v>
      </c>
      <c r="N603" s="32">
        <f t="shared" si="3"/>
        <v>-0.4020100503</v>
      </c>
    </row>
    <row r="604">
      <c r="A604" s="42" t="s">
        <v>159</v>
      </c>
      <c r="B604" s="42">
        <v>54.0</v>
      </c>
      <c r="C604" s="42">
        <v>1.0</v>
      </c>
      <c r="D604" s="54">
        <v>995.0</v>
      </c>
      <c r="E604" s="54">
        <v>1202932.0</v>
      </c>
      <c r="F604" s="54">
        <v>997.0</v>
      </c>
      <c r="G604" s="54">
        <v>1202778.0</v>
      </c>
      <c r="H604" s="55">
        <v>996.0</v>
      </c>
      <c r="I604" s="54">
        <v>1213000.0</v>
      </c>
      <c r="J604" s="42">
        <v>993.0</v>
      </c>
      <c r="K604" s="42">
        <v>1113886.0</v>
      </c>
      <c r="L604" s="32">
        <f t="shared" si="1"/>
        <v>-0.2010050251</v>
      </c>
      <c r="M604" s="32">
        <f t="shared" si="2"/>
        <v>-0.4012036108</v>
      </c>
      <c r="N604" s="32">
        <f t="shared" si="3"/>
        <v>-0.3012048193</v>
      </c>
    </row>
    <row r="605">
      <c r="A605" s="42" t="s">
        <v>159</v>
      </c>
      <c r="B605" s="42">
        <v>54.0</v>
      </c>
      <c r="C605" s="42">
        <v>2.0</v>
      </c>
      <c r="D605" s="54">
        <v>995.0</v>
      </c>
      <c r="E605" s="54">
        <v>1205530.0</v>
      </c>
      <c r="F605" s="54">
        <v>997.0</v>
      </c>
      <c r="G605" s="54">
        <v>1203254.0</v>
      </c>
      <c r="H605" s="55">
        <v>995.0</v>
      </c>
      <c r="I605" s="54">
        <v>1213000.0</v>
      </c>
      <c r="J605" s="42">
        <v>992.0</v>
      </c>
      <c r="K605" s="42">
        <v>1119010.0</v>
      </c>
      <c r="L605" s="32">
        <f t="shared" si="1"/>
        <v>-0.3015075377</v>
      </c>
      <c r="M605" s="32">
        <f t="shared" si="2"/>
        <v>-0.5015045135</v>
      </c>
      <c r="N605" s="32">
        <f t="shared" si="3"/>
        <v>-0.3015075377</v>
      </c>
    </row>
    <row r="606">
      <c r="A606" s="42" t="s">
        <v>159</v>
      </c>
      <c r="B606" s="42">
        <v>54.0</v>
      </c>
      <c r="C606" s="42">
        <v>3.0</v>
      </c>
      <c r="D606" s="54">
        <v>995.0</v>
      </c>
      <c r="E606" s="54">
        <v>1202059.0</v>
      </c>
      <c r="F606" s="54">
        <v>997.0</v>
      </c>
      <c r="G606" s="54">
        <v>1203244.0</v>
      </c>
      <c r="H606" s="55">
        <v>995.0</v>
      </c>
      <c r="I606" s="54">
        <v>1213000.0</v>
      </c>
      <c r="J606" s="42">
        <v>993.0</v>
      </c>
      <c r="K606" s="42">
        <v>1126253.0</v>
      </c>
      <c r="L606" s="32">
        <f t="shared" si="1"/>
        <v>-0.2010050251</v>
      </c>
      <c r="M606" s="32">
        <f t="shared" si="2"/>
        <v>-0.4012036108</v>
      </c>
      <c r="N606" s="32">
        <f t="shared" si="3"/>
        <v>-0.2010050251</v>
      </c>
    </row>
    <row r="607">
      <c r="A607" s="42" t="s">
        <v>159</v>
      </c>
      <c r="B607" s="42">
        <v>54.0</v>
      </c>
      <c r="C607" s="42">
        <v>4.0</v>
      </c>
      <c r="D607" s="54">
        <v>994.0</v>
      </c>
      <c r="E607" s="54">
        <v>1204187.0</v>
      </c>
      <c r="F607" s="54">
        <v>997.0</v>
      </c>
      <c r="G607" s="54">
        <v>1203512.0</v>
      </c>
      <c r="H607" s="55">
        <v>995.0</v>
      </c>
      <c r="I607" s="54">
        <v>1213000.0</v>
      </c>
      <c r="J607" s="42">
        <v>993.0</v>
      </c>
      <c r="K607" s="42">
        <v>1110365.0</v>
      </c>
      <c r="L607" s="32">
        <f t="shared" si="1"/>
        <v>-0.1006036217</v>
      </c>
      <c r="M607" s="32">
        <f t="shared" si="2"/>
        <v>-0.4012036108</v>
      </c>
      <c r="N607" s="32">
        <f t="shared" si="3"/>
        <v>-0.2010050251</v>
      </c>
    </row>
    <row r="608">
      <c r="A608" s="42" t="s">
        <v>159</v>
      </c>
      <c r="B608" s="42">
        <v>54.0</v>
      </c>
      <c r="C608" s="42">
        <v>5.0</v>
      </c>
      <c r="D608" s="54">
        <v>995.0</v>
      </c>
      <c r="E608" s="54">
        <v>1205771.0</v>
      </c>
      <c r="F608" s="54">
        <v>997.0</v>
      </c>
      <c r="G608" s="54">
        <v>1203752.0</v>
      </c>
      <c r="H608" s="55">
        <v>995.0</v>
      </c>
      <c r="I608" s="54">
        <v>1213000.0</v>
      </c>
      <c r="J608" s="42">
        <v>993.0</v>
      </c>
      <c r="K608" s="42">
        <v>1130588.0</v>
      </c>
      <c r="L608" s="32">
        <f t="shared" si="1"/>
        <v>-0.2010050251</v>
      </c>
      <c r="M608" s="32">
        <f t="shared" si="2"/>
        <v>-0.4012036108</v>
      </c>
      <c r="N608" s="32">
        <f t="shared" si="3"/>
        <v>-0.2010050251</v>
      </c>
    </row>
    <row r="609">
      <c r="A609" s="42" t="s">
        <v>159</v>
      </c>
      <c r="B609" s="42">
        <v>54.0</v>
      </c>
      <c r="C609" s="42">
        <v>6.0</v>
      </c>
      <c r="D609" s="54">
        <v>995.0</v>
      </c>
      <c r="E609" s="54">
        <v>1200878.0</v>
      </c>
      <c r="F609" s="54">
        <v>997.0</v>
      </c>
      <c r="G609" s="54">
        <v>1203687.0</v>
      </c>
      <c r="H609" s="55">
        <v>995.0</v>
      </c>
      <c r="I609" s="54">
        <v>1213000.0</v>
      </c>
      <c r="J609" s="42">
        <v>993.0</v>
      </c>
      <c r="K609" s="42">
        <v>1090734.0</v>
      </c>
      <c r="L609" s="32">
        <f t="shared" si="1"/>
        <v>-0.2010050251</v>
      </c>
      <c r="M609" s="32">
        <f t="shared" si="2"/>
        <v>-0.4012036108</v>
      </c>
      <c r="N609" s="32">
        <f t="shared" si="3"/>
        <v>-0.2010050251</v>
      </c>
    </row>
    <row r="610">
      <c r="A610" s="42" t="s">
        <v>159</v>
      </c>
      <c r="B610" s="42">
        <v>54.0</v>
      </c>
      <c r="C610" s="42">
        <v>7.0</v>
      </c>
      <c r="D610" s="54">
        <v>995.0</v>
      </c>
      <c r="E610" s="54">
        <v>1203551.0</v>
      </c>
      <c r="F610" s="54">
        <v>997.0</v>
      </c>
      <c r="G610" s="54">
        <v>1203323.0</v>
      </c>
      <c r="H610" s="55">
        <v>996.0</v>
      </c>
      <c r="I610" s="54">
        <v>1214000.0</v>
      </c>
      <c r="J610" s="42">
        <v>993.0</v>
      </c>
      <c r="K610" s="42">
        <v>1134570.0</v>
      </c>
      <c r="L610" s="32">
        <f t="shared" si="1"/>
        <v>-0.2010050251</v>
      </c>
      <c r="M610" s="32">
        <f t="shared" si="2"/>
        <v>-0.4012036108</v>
      </c>
      <c r="N610" s="32">
        <f t="shared" si="3"/>
        <v>-0.3012048193</v>
      </c>
    </row>
    <row r="611">
      <c r="A611" s="42" t="s">
        <v>159</v>
      </c>
      <c r="B611" s="42">
        <v>54.0</v>
      </c>
      <c r="C611" s="42">
        <v>8.0</v>
      </c>
      <c r="D611" s="54">
        <v>995.0</v>
      </c>
      <c r="E611" s="54">
        <v>1203925.0</v>
      </c>
      <c r="F611" s="54">
        <v>997.0</v>
      </c>
      <c r="G611" s="54">
        <v>1202293.0</v>
      </c>
      <c r="H611" s="55">
        <v>995.0</v>
      </c>
      <c r="I611" s="54">
        <v>1213000.0</v>
      </c>
      <c r="J611" s="42">
        <v>993.0</v>
      </c>
      <c r="K611" s="42">
        <v>1108337.0</v>
      </c>
      <c r="L611" s="32">
        <f t="shared" si="1"/>
        <v>-0.2010050251</v>
      </c>
      <c r="M611" s="32">
        <f t="shared" si="2"/>
        <v>-0.4012036108</v>
      </c>
      <c r="N611" s="32">
        <f t="shared" si="3"/>
        <v>-0.2010050251</v>
      </c>
    </row>
    <row r="612">
      <c r="A612" s="42" t="s">
        <v>159</v>
      </c>
      <c r="B612" s="42">
        <v>54.0</v>
      </c>
      <c r="C612" s="42">
        <v>9.0</v>
      </c>
      <c r="D612" s="54">
        <v>996.0</v>
      </c>
      <c r="E612" s="54">
        <v>1204999.0</v>
      </c>
      <c r="F612" s="54">
        <v>997.0</v>
      </c>
      <c r="G612" s="54">
        <v>1203326.0</v>
      </c>
      <c r="H612" s="55">
        <v>995.0</v>
      </c>
      <c r="I612" s="54">
        <v>1213000.0</v>
      </c>
      <c r="J612" s="42">
        <v>992.0</v>
      </c>
      <c r="K612" s="42">
        <v>1109796.0</v>
      </c>
      <c r="L612" s="32">
        <f t="shared" si="1"/>
        <v>-0.4016064257</v>
      </c>
      <c r="M612" s="32">
        <f t="shared" si="2"/>
        <v>-0.5015045135</v>
      </c>
      <c r="N612" s="32">
        <f t="shared" si="3"/>
        <v>-0.3015075377</v>
      </c>
    </row>
    <row r="613">
      <c r="A613" s="42" t="s">
        <v>159</v>
      </c>
      <c r="B613" s="42">
        <v>54.0</v>
      </c>
      <c r="C613" s="42">
        <v>10.0</v>
      </c>
      <c r="D613" s="54">
        <v>995.0</v>
      </c>
      <c r="E613" s="54">
        <v>1202902.0</v>
      </c>
      <c r="F613" s="54">
        <v>997.0</v>
      </c>
      <c r="G613" s="54">
        <v>1202076.0</v>
      </c>
      <c r="H613" s="55">
        <v>995.0</v>
      </c>
      <c r="I613" s="54">
        <v>1213000.0</v>
      </c>
      <c r="J613" s="42">
        <v>993.0</v>
      </c>
      <c r="K613" s="42">
        <v>1102862.0</v>
      </c>
      <c r="L613" s="32">
        <f t="shared" si="1"/>
        <v>-0.2010050251</v>
      </c>
      <c r="M613" s="32">
        <f t="shared" si="2"/>
        <v>-0.4012036108</v>
      </c>
      <c r="N613" s="32">
        <f t="shared" si="3"/>
        <v>-0.2010050251</v>
      </c>
    </row>
  </sheetData>
  <mergeCells count="4">
    <mergeCell ref="D2:E2"/>
    <mergeCell ref="F2:G2"/>
    <mergeCell ref="H2:I2"/>
    <mergeCell ref="J2:K2"/>
  </mergeCells>
  <conditionalFormatting sqref="O6:O66 Z6:AB66 AD6:AD66 L65:M66">
    <cfRule type="cellIs" dxfId="0" priority="1" operator="lessThan">
      <formula>0</formula>
    </cfRule>
  </conditionalFormatting>
  <conditionalFormatting sqref="Y6:Y66 O69:O86">
    <cfRule type="cellIs" dxfId="0" priority="2" operator="lessThan">
      <formula>0</formula>
    </cfRule>
  </conditionalFormatting>
  <conditionalFormatting sqref="L4:N613">
    <cfRule type="cellIs" dxfId="0" priority="3" operator="lessThan">
      <formula>0</formula>
    </cfRule>
  </conditionalFormatting>
  <conditionalFormatting sqref="L4:N613">
    <cfRule type="cellIs" dxfId="1" priority="4" operator="greaterThanOrEqual">
      <formula>0</formula>
    </cfRule>
  </conditionalFormatting>
  <drawing r:id="rId1"/>
</worksheet>
</file>